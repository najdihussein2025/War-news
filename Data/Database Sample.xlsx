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08138ef9a6e6030c/Desktop/"/>
    </mc:Choice>
  </mc:AlternateContent>
  <xr:revisionPtr revIDLastSave="52" documentId="11_F25DC773A252ABDACC104895C19E7EF25ADE58E7" xr6:coauthVersionLast="47" xr6:coauthVersionMax="47" xr10:uidLastSave="{D8E88C33-F35B-41FC-B0C2-6FEA0BD0C31A}"/>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B44" i="1" l="1"/>
  <c r="EJ44" i="1"/>
  <c r="EI44" i="1"/>
  <c r="DZ44" i="1"/>
  <c r="DY44" i="1"/>
  <c r="DP44" i="1"/>
  <c r="DO44" i="1"/>
  <c r="DA44" i="1"/>
  <c r="CZ44" i="1"/>
  <c r="CQ44" i="1"/>
  <c r="CP44" i="1"/>
  <c r="BI44" i="1"/>
  <c r="BH44" i="1"/>
  <c r="AY44" i="1"/>
  <c r="AX44" i="1"/>
  <c r="AO44" i="1"/>
  <c r="R44" i="1" s="1"/>
  <c r="AN44" i="1"/>
  <c r="Q44" i="1"/>
  <c r="FB43" i="1"/>
  <c r="EJ43" i="1"/>
  <c r="EI43" i="1"/>
  <c r="DZ43" i="1"/>
  <c r="DY43" i="1"/>
  <c r="DP43" i="1"/>
  <c r="DO43" i="1"/>
  <c r="DA43" i="1"/>
  <c r="CZ43" i="1"/>
  <c r="CQ43" i="1"/>
  <c r="CP43" i="1"/>
  <c r="BI43" i="1"/>
  <c r="BH43" i="1"/>
  <c r="AY43" i="1"/>
  <c r="AX43" i="1"/>
  <c r="Q43" i="1" s="1"/>
  <c r="AO43" i="1"/>
  <c r="R43" i="1" s="1"/>
  <c r="AN43" i="1"/>
  <c r="FB42" i="1"/>
  <c r="EJ42" i="1"/>
  <c r="EI42" i="1"/>
  <c r="DZ42" i="1"/>
  <c r="DY42" i="1"/>
  <c r="DP42" i="1"/>
  <c r="DO42" i="1"/>
  <c r="DA42" i="1"/>
  <c r="CZ42" i="1"/>
  <c r="CQ42" i="1"/>
  <c r="CP42" i="1"/>
  <c r="BI42" i="1"/>
  <c r="BH42" i="1"/>
  <c r="AY42" i="1"/>
  <c r="AX42" i="1"/>
  <c r="Q42" i="1" s="1"/>
  <c r="AO42" i="1"/>
  <c r="R42" i="1" s="1"/>
  <c r="AN42" i="1"/>
  <c r="FB41" i="1"/>
  <c r="EJ41" i="1"/>
  <c r="EI41" i="1"/>
  <c r="DZ41" i="1"/>
  <c r="DY41" i="1"/>
  <c r="DP41" i="1"/>
  <c r="DO41" i="1"/>
  <c r="DA41" i="1"/>
  <c r="CZ41" i="1"/>
  <c r="CQ41" i="1"/>
  <c r="CP41" i="1"/>
  <c r="BI41" i="1"/>
  <c r="BH41" i="1"/>
  <c r="AY41" i="1"/>
  <c r="AX41" i="1"/>
  <c r="AO41" i="1"/>
  <c r="R41" i="1" s="1"/>
  <c r="AN41" i="1"/>
  <c r="Q41" i="1" s="1"/>
  <c r="FB40" i="1"/>
  <c r="EJ40" i="1"/>
  <c r="EI40" i="1"/>
  <c r="DZ40" i="1"/>
  <c r="DY40" i="1"/>
  <c r="DP40" i="1"/>
  <c r="DO40" i="1"/>
  <c r="DA40" i="1"/>
  <c r="CZ40" i="1"/>
  <c r="CQ40" i="1"/>
  <c r="CP40" i="1"/>
  <c r="BI40" i="1"/>
  <c r="BH40" i="1"/>
  <c r="AY40" i="1"/>
  <c r="AX40" i="1"/>
  <c r="Q40" i="1" s="1"/>
  <c r="AO40" i="1"/>
  <c r="R40" i="1" s="1"/>
  <c r="AN40" i="1"/>
  <c r="FB39" i="1"/>
  <c r="EJ39" i="1"/>
  <c r="EI39" i="1"/>
  <c r="DZ39" i="1"/>
  <c r="DY39" i="1"/>
  <c r="DP39" i="1"/>
  <c r="DO39" i="1"/>
  <c r="DA39" i="1"/>
  <c r="CZ39" i="1"/>
  <c r="CQ39" i="1"/>
  <c r="CP39" i="1"/>
  <c r="BI39" i="1"/>
  <c r="BH39" i="1"/>
  <c r="AY39" i="1"/>
  <c r="AX39" i="1"/>
  <c r="Q39" i="1" s="1"/>
  <c r="AO39" i="1"/>
  <c r="R39" i="1" s="1"/>
  <c r="AN39" i="1"/>
  <c r="FB38" i="1"/>
  <c r="EJ38" i="1"/>
  <c r="EI38" i="1"/>
  <c r="DZ38" i="1"/>
  <c r="DY38" i="1"/>
  <c r="DP38" i="1"/>
  <c r="DO38" i="1"/>
  <c r="DA38" i="1"/>
  <c r="CZ38" i="1"/>
  <c r="CQ38" i="1"/>
  <c r="CP38" i="1"/>
  <c r="BI38" i="1"/>
  <c r="BH38" i="1"/>
  <c r="AY38" i="1"/>
  <c r="AX38" i="1"/>
  <c r="AO38" i="1"/>
  <c r="R38" i="1" s="1"/>
  <c r="AN38" i="1"/>
  <c r="Q38" i="1" s="1"/>
  <c r="FB37" i="1"/>
  <c r="EJ37" i="1"/>
  <c r="EI37" i="1"/>
  <c r="DZ37" i="1"/>
  <c r="DY37" i="1"/>
  <c r="DP37" i="1"/>
  <c r="DO37" i="1"/>
  <c r="DA37" i="1"/>
  <c r="CZ37" i="1"/>
  <c r="CQ37" i="1"/>
  <c r="CP37" i="1"/>
  <c r="BI37" i="1"/>
  <c r="BH37" i="1"/>
  <c r="AY37" i="1"/>
  <c r="AX37" i="1"/>
  <c r="AO37" i="1"/>
  <c r="R37" i="1" s="1"/>
  <c r="AN37" i="1"/>
  <c r="Q37" i="1" s="1"/>
  <c r="FB36" i="1"/>
  <c r="EJ36" i="1"/>
  <c r="EI36" i="1"/>
  <c r="DZ36" i="1"/>
  <c r="DY36" i="1"/>
  <c r="DP36" i="1"/>
  <c r="DO36" i="1"/>
  <c r="DA36" i="1"/>
  <c r="CZ36" i="1"/>
  <c r="CQ36" i="1"/>
  <c r="CP36" i="1"/>
  <c r="BI36" i="1"/>
  <c r="BH36" i="1"/>
  <c r="AY36" i="1"/>
  <c r="AX36" i="1"/>
  <c r="Q36" i="1" s="1"/>
  <c r="AO36" i="1"/>
  <c r="R36" i="1" s="1"/>
  <c r="AN36" i="1"/>
  <c r="FB35" i="1"/>
  <c r="EJ35" i="1"/>
  <c r="EI35" i="1"/>
  <c r="DZ35" i="1"/>
  <c r="DY35" i="1"/>
  <c r="DP35" i="1"/>
  <c r="DO35" i="1"/>
  <c r="DA35" i="1"/>
  <c r="CZ35" i="1"/>
  <c r="CQ35" i="1"/>
  <c r="CP35" i="1"/>
  <c r="BI35" i="1"/>
  <c r="BH35" i="1"/>
  <c r="AY35" i="1"/>
  <c r="AX35" i="1"/>
  <c r="Q35" i="1" s="1"/>
  <c r="AO35" i="1"/>
  <c r="R35" i="1" s="1"/>
  <c r="AN35" i="1"/>
  <c r="FB34" i="1"/>
  <c r="EJ34" i="1"/>
  <c r="EI34" i="1"/>
  <c r="DZ34" i="1"/>
  <c r="DY34" i="1"/>
  <c r="DP34" i="1"/>
  <c r="DO34" i="1"/>
  <c r="DA34" i="1"/>
  <c r="CZ34" i="1"/>
  <c r="CQ34" i="1"/>
  <c r="CP34" i="1"/>
  <c r="BI34" i="1"/>
  <c r="BH34" i="1"/>
  <c r="AY34" i="1"/>
  <c r="AX34" i="1"/>
  <c r="Q34" i="1" s="1"/>
  <c r="AO34" i="1"/>
  <c r="R34" i="1" s="1"/>
  <c r="AN34" i="1"/>
  <c r="FB33" i="1"/>
  <c r="EJ33" i="1"/>
  <c r="EI33" i="1"/>
  <c r="DZ33" i="1"/>
  <c r="DY33" i="1"/>
  <c r="DP33" i="1"/>
  <c r="DO33" i="1"/>
  <c r="DA33" i="1"/>
  <c r="CZ33" i="1"/>
  <c r="CQ33" i="1"/>
  <c r="CP33" i="1"/>
  <c r="BI33" i="1"/>
  <c r="BH33" i="1"/>
  <c r="AY33" i="1"/>
  <c r="AX33" i="1"/>
  <c r="Q33" i="1" s="1"/>
  <c r="AO33" i="1"/>
  <c r="R33" i="1" s="1"/>
  <c r="AN33" i="1"/>
  <c r="FB32" i="1"/>
  <c r="EJ32" i="1"/>
  <c r="EI32" i="1"/>
  <c r="DZ32" i="1"/>
  <c r="DY32" i="1"/>
  <c r="DP32" i="1"/>
  <c r="DO32" i="1"/>
  <c r="DA32" i="1"/>
  <c r="CZ32" i="1"/>
  <c r="CQ32" i="1"/>
  <c r="CP32" i="1"/>
  <c r="BI32" i="1"/>
  <c r="BH32" i="1"/>
  <c r="AY32" i="1"/>
  <c r="AX32" i="1"/>
  <c r="Q32" i="1" s="1"/>
  <c r="AO32" i="1"/>
  <c r="R32" i="1" s="1"/>
  <c r="AN32" i="1"/>
  <c r="FB31" i="1"/>
  <c r="EJ31" i="1"/>
  <c r="EI31" i="1"/>
  <c r="DZ31" i="1"/>
  <c r="DY31" i="1"/>
  <c r="DP31" i="1"/>
  <c r="DO31" i="1"/>
  <c r="DA31" i="1"/>
  <c r="CZ31" i="1"/>
  <c r="CQ31" i="1"/>
  <c r="CP31" i="1"/>
  <c r="BI31" i="1"/>
  <c r="BH31" i="1"/>
  <c r="AY31" i="1"/>
  <c r="AX31" i="1"/>
  <c r="Q31" i="1" s="1"/>
  <c r="AO31" i="1"/>
  <c r="R31" i="1" s="1"/>
  <c r="AN31" i="1"/>
  <c r="FB30" i="1"/>
  <c r="EJ30" i="1"/>
  <c r="EI30" i="1"/>
  <c r="DZ30" i="1"/>
  <c r="DY30" i="1"/>
  <c r="DP30" i="1"/>
  <c r="DO30" i="1"/>
  <c r="DA30" i="1"/>
  <c r="CZ30" i="1"/>
  <c r="CQ30" i="1"/>
  <c r="CP30" i="1"/>
  <c r="BI30" i="1"/>
  <c r="BH30" i="1"/>
  <c r="AY30" i="1"/>
  <c r="AX30" i="1"/>
  <c r="Q30" i="1" s="1"/>
  <c r="AO30" i="1"/>
  <c r="R30" i="1" s="1"/>
  <c r="AN30" i="1"/>
  <c r="FB29" i="1"/>
  <c r="EJ29" i="1"/>
  <c r="EI29" i="1"/>
  <c r="DZ29" i="1"/>
  <c r="DY29" i="1"/>
  <c r="DP29" i="1"/>
  <c r="DO29" i="1"/>
  <c r="DA29" i="1"/>
  <c r="CZ29" i="1"/>
  <c r="CQ29" i="1"/>
  <c r="CP29" i="1"/>
  <c r="BI29" i="1"/>
  <c r="BH29" i="1"/>
  <c r="AY29" i="1"/>
  <c r="AX29" i="1"/>
  <c r="Q29" i="1" s="1"/>
  <c r="AO29" i="1"/>
  <c r="R29" i="1" s="1"/>
  <c r="AN29" i="1"/>
  <c r="FB28" i="1"/>
  <c r="EJ28" i="1"/>
  <c r="EI28" i="1"/>
  <c r="DZ28" i="1"/>
  <c r="DY28" i="1"/>
  <c r="DP28" i="1"/>
  <c r="DO28" i="1"/>
  <c r="DA28" i="1"/>
  <c r="CZ28" i="1"/>
  <c r="CQ28" i="1"/>
  <c r="CP28" i="1"/>
  <c r="BI28" i="1"/>
  <c r="BH28" i="1"/>
  <c r="AY28" i="1"/>
  <c r="AX28" i="1"/>
  <c r="AO28" i="1"/>
  <c r="AN28" i="1"/>
  <c r="R28" i="1"/>
  <c r="Q28" i="1"/>
  <c r="FB27" i="1"/>
  <c r="EJ27" i="1"/>
  <c r="EI27" i="1"/>
  <c r="DZ27" i="1"/>
  <c r="DY27" i="1"/>
  <c r="DP27" i="1"/>
  <c r="DO27" i="1"/>
  <c r="DA27" i="1"/>
  <c r="CZ27" i="1"/>
  <c r="CQ27" i="1"/>
  <c r="CP27" i="1"/>
  <c r="BI27" i="1"/>
  <c r="BH27" i="1"/>
  <c r="AY27" i="1"/>
  <c r="AX27" i="1"/>
  <c r="Q27" i="1" s="1"/>
  <c r="AO27" i="1"/>
  <c r="R27" i="1" s="1"/>
  <c r="AN27" i="1"/>
  <c r="FB26" i="1"/>
  <c r="EJ26" i="1"/>
  <c r="EI26" i="1"/>
  <c r="DZ26" i="1"/>
  <c r="DY26" i="1"/>
  <c r="DP26" i="1"/>
  <c r="DO26" i="1"/>
  <c r="DA26" i="1"/>
  <c r="CZ26" i="1"/>
  <c r="CQ26" i="1"/>
  <c r="CP26" i="1"/>
  <c r="BI26" i="1"/>
  <c r="BH26" i="1"/>
  <c r="AY26" i="1"/>
  <c r="AX26" i="1"/>
  <c r="Q26" i="1" s="1"/>
  <c r="AO26" i="1"/>
  <c r="R26" i="1" s="1"/>
  <c r="AN26" i="1"/>
  <c r="FB25" i="1"/>
  <c r="EJ25" i="1"/>
  <c r="EI25" i="1"/>
  <c r="DZ25" i="1"/>
  <c r="DY25" i="1"/>
  <c r="DP25" i="1"/>
  <c r="DO25" i="1"/>
  <c r="DA25" i="1"/>
  <c r="CZ25" i="1"/>
  <c r="CQ25" i="1"/>
  <c r="CP25" i="1"/>
  <c r="BI25" i="1"/>
  <c r="BH25" i="1"/>
  <c r="AY25" i="1"/>
  <c r="AX25" i="1"/>
  <c r="Q25" i="1" s="1"/>
  <c r="AO25" i="1"/>
  <c r="R25" i="1" s="1"/>
  <c r="AN25" i="1"/>
  <c r="FB24" i="1"/>
  <c r="EJ24" i="1"/>
  <c r="EI24" i="1"/>
  <c r="DZ24" i="1"/>
  <c r="DY24" i="1"/>
  <c r="DP24" i="1"/>
  <c r="DO24" i="1"/>
  <c r="DA24" i="1"/>
  <c r="CZ24" i="1"/>
  <c r="CQ24" i="1"/>
  <c r="CP24" i="1"/>
  <c r="BI24" i="1"/>
  <c r="BH24" i="1"/>
  <c r="AY24" i="1"/>
  <c r="AX24" i="1"/>
  <c r="Q24" i="1" s="1"/>
  <c r="AO24" i="1"/>
  <c r="R24" i="1" s="1"/>
  <c r="AN24" i="1"/>
  <c r="FB23" i="1"/>
  <c r="EJ23" i="1"/>
  <c r="EI23" i="1"/>
  <c r="DZ23" i="1"/>
  <c r="DY23" i="1"/>
  <c r="DP23" i="1"/>
  <c r="DO23" i="1"/>
  <c r="DA23" i="1"/>
  <c r="CZ23" i="1"/>
  <c r="CQ23" i="1"/>
  <c r="CP23" i="1"/>
  <c r="BI23" i="1"/>
  <c r="BH23" i="1"/>
  <c r="AY23" i="1"/>
  <c r="AX23" i="1"/>
  <c r="Q23" i="1" s="1"/>
  <c r="AO23" i="1"/>
  <c r="R23" i="1" s="1"/>
  <c r="AN23" i="1"/>
  <c r="FB22" i="1"/>
  <c r="EJ22" i="1"/>
  <c r="EI22" i="1"/>
  <c r="DZ22" i="1"/>
  <c r="DY22" i="1"/>
  <c r="DP22" i="1"/>
  <c r="DO22" i="1"/>
  <c r="DA22" i="1"/>
  <c r="CZ22" i="1"/>
  <c r="CQ22" i="1"/>
  <c r="CP22" i="1"/>
  <c r="BI22" i="1"/>
  <c r="BH22" i="1"/>
  <c r="AY22" i="1"/>
  <c r="AX22" i="1"/>
  <c r="Q22" i="1" s="1"/>
  <c r="AO22" i="1"/>
  <c r="R22" i="1" s="1"/>
  <c r="AN22" i="1"/>
  <c r="FB21" i="1"/>
  <c r="EJ21" i="1"/>
  <c r="EI21" i="1"/>
  <c r="DZ21" i="1"/>
  <c r="DY21" i="1"/>
  <c r="DP21" i="1"/>
  <c r="DO21" i="1"/>
  <c r="DA21" i="1"/>
  <c r="CZ21" i="1"/>
  <c r="CQ21" i="1"/>
  <c r="CP21" i="1"/>
  <c r="BI21" i="1"/>
  <c r="BH21" i="1"/>
  <c r="AY21" i="1"/>
  <c r="AX21" i="1"/>
  <c r="Q21" i="1" s="1"/>
  <c r="AO21" i="1"/>
  <c r="R21" i="1" s="1"/>
  <c r="AN21" i="1"/>
  <c r="FB18" i="1"/>
  <c r="EJ18" i="1"/>
  <c r="EI18" i="1"/>
  <c r="DZ18" i="1"/>
  <c r="DY18" i="1"/>
  <c r="DP18" i="1"/>
  <c r="DO18" i="1"/>
  <c r="DA18" i="1"/>
  <c r="CZ18" i="1"/>
  <c r="CQ18" i="1"/>
  <c r="CP18" i="1"/>
  <c r="BI18" i="1"/>
  <c r="BH18" i="1"/>
  <c r="AY18" i="1"/>
  <c r="AX18" i="1"/>
  <c r="Q18" i="1" s="1"/>
  <c r="AO18" i="1"/>
  <c r="R18" i="1" s="1"/>
  <c r="AN18" i="1"/>
  <c r="FB17" i="1"/>
  <c r="EJ17" i="1"/>
  <c r="EI17" i="1"/>
  <c r="DZ17" i="1"/>
  <c r="DY17" i="1"/>
  <c r="DP17" i="1"/>
  <c r="DO17" i="1"/>
  <c r="DA17" i="1"/>
  <c r="CZ17" i="1"/>
  <c r="CQ17" i="1"/>
  <c r="CP17" i="1"/>
  <c r="BI17" i="1"/>
  <c r="BH17" i="1"/>
  <c r="AY17" i="1"/>
  <c r="AX17" i="1"/>
  <c r="Q17" i="1" s="1"/>
  <c r="AO17" i="1"/>
  <c r="R17" i="1" s="1"/>
  <c r="AN17" i="1"/>
  <c r="FB16" i="1"/>
  <c r="EJ16" i="1"/>
  <c r="EI16" i="1"/>
  <c r="DZ16" i="1"/>
  <c r="DY16" i="1"/>
  <c r="DP16" i="1"/>
  <c r="DO16" i="1"/>
  <c r="DA16" i="1"/>
  <c r="CZ16" i="1"/>
  <c r="CQ16" i="1"/>
  <c r="CP16" i="1"/>
  <c r="BI16" i="1"/>
  <c r="BH16" i="1"/>
  <c r="AY16" i="1"/>
  <c r="AX16" i="1"/>
  <c r="Q16" i="1" s="1"/>
  <c r="AO16" i="1"/>
  <c r="R16" i="1" s="1"/>
  <c r="AN16" i="1"/>
  <c r="FB15" i="1"/>
  <c r="EJ15" i="1"/>
  <c r="EI15" i="1"/>
  <c r="DZ15" i="1"/>
  <c r="DY15" i="1"/>
  <c r="DP15" i="1"/>
  <c r="DO15" i="1"/>
  <c r="DA15" i="1"/>
  <c r="CZ15" i="1"/>
  <c r="CQ15" i="1"/>
  <c r="CP15" i="1"/>
  <c r="BI15" i="1"/>
  <c r="BH15" i="1"/>
  <c r="AY15" i="1"/>
  <c r="AX15" i="1"/>
  <c r="Q15" i="1" s="1"/>
  <c r="AO15" i="1"/>
  <c r="R15" i="1" s="1"/>
  <c r="AN15" i="1"/>
  <c r="FB14" i="1"/>
  <c r="EJ14" i="1"/>
  <c r="EI14" i="1"/>
  <c r="DZ14" i="1"/>
  <c r="DY14" i="1"/>
  <c r="DP14" i="1"/>
  <c r="DO14" i="1"/>
  <c r="DA14" i="1"/>
  <c r="CZ14" i="1"/>
  <c r="CQ14" i="1"/>
  <c r="CP14" i="1"/>
  <c r="BI14" i="1"/>
  <c r="BH14" i="1"/>
  <c r="AY14" i="1"/>
  <c r="AX14" i="1"/>
  <c r="Q14" i="1" s="1"/>
  <c r="AO14" i="1"/>
  <c r="R14" i="1" s="1"/>
  <c r="AN14" i="1"/>
  <c r="FB13" i="1"/>
  <c r="EJ13" i="1"/>
  <c r="EI13" i="1"/>
  <c r="DZ13" i="1"/>
  <c r="DY13" i="1"/>
  <c r="DP13" i="1"/>
  <c r="DO13" i="1"/>
  <c r="DA13" i="1"/>
  <c r="CZ13" i="1"/>
  <c r="CQ13" i="1"/>
  <c r="CP13" i="1"/>
  <c r="BI13" i="1"/>
  <c r="BH13" i="1"/>
  <c r="AY13" i="1"/>
  <c r="AX13" i="1"/>
  <c r="Q13" i="1" s="1"/>
  <c r="AO13" i="1"/>
  <c r="R13" i="1" s="1"/>
  <c r="AN13" i="1"/>
  <c r="FB12" i="1"/>
  <c r="EJ12" i="1"/>
  <c r="EI12" i="1"/>
  <c r="DZ12" i="1"/>
  <c r="DY12" i="1"/>
  <c r="DP12" i="1"/>
  <c r="DO12" i="1"/>
  <c r="DA12" i="1"/>
  <c r="CZ12" i="1"/>
  <c r="CQ12" i="1"/>
  <c r="CP12" i="1"/>
  <c r="BI12" i="1"/>
  <c r="BH12" i="1"/>
  <c r="AY12" i="1"/>
  <c r="AX12" i="1"/>
  <c r="Q12" i="1" s="1"/>
  <c r="AO12" i="1"/>
  <c r="R12" i="1" s="1"/>
  <c r="AN12" i="1"/>
  <c r="FB11" i="1"/>
  <c r="EJ11" i="1"/>
  <c r="EI11" i="1"/>
  <c r="DZ11" i="1"/>
  <c r="DY11" i="1"/>
  <c r="DP11" i="1"/>
  <c r="DO11" i="1"/>
  <c r="DA11" i="1"/>
  <c r="CZ11" i="1"/>
  <c r="CQ11" i="1"/>
  <c r="CP11" i="1"/>
  <c r="BI11" i="1"/>
  <c r="BH11" i="1"/>
  <c r="AY11" i="1"/>
  <c r="AX11" i="1"/>
  <c r="Q11" i="1" s="1"/>
  <c r="AO11" i="1"/>
  <c r="R11" i="1" s="1"/>
  <c r="AN11" i="1"/>
  <c r="FB10" i="1"/>
  <c r="EJ10" i="1"/>
  <c r="EI10" i="1"/>
  <c r="DZ10" i="1"/>
  <c r="DY10" i="1"/>
  <c r="DP10" i="1"/>
  <c r="DO10" i="1"/>
  <c r="DA10" i="1"/>
  <c r="CZ10" i="1"/>
  <c r="CQ10" i="1"/>
  <c r="CP10" i="1"/>
  <c r="BI10" i="1"/>
  <c r="BH10" i="1"/>
  <c r="AY10" i="1"/>
  <c r="AX10" i="1"/>
  <c r="Q10" i="1" s="1"/>
  <c r="AO10" i="1"/>
  <c r="R10" i="1" s="1"/>
  <c r="AN10" i="1"/>
  <c r="FB9" i="1"/>
  <c r="EJ9" i="1"/>
  <c r="EI9" i="1"/>
  <c r="DZ9" i="1"/>
  <c r="DY9" i="1"/>
  <c r="DP9" i="1"/>
  <c r="DO9" i="1"/>
  <c r="DA9" i="1"/>
  <c r="CZ9" i="1"/>
  <c r="CQ9" i="1"/>
  <c r="CP9" i="1"/>
  <c r="BI9" i="1"/>
  <c r="BH9" i="1"/>
  <c r="AY9" i="1"/>
  <c r="AX9" i="1"/>
  <c r="Q9" i="1" s="1"/>
  <c r="AO9" i="1"/>
  <c r="R9" i="1" s="1"/>
  <c r="AN9" i="1"/>
  <c r="FB8" i="1"/>
  <c r="EJ8" i="1"/>
  <c r="EI8" i="1"/>
  <c r="DZ8" i="1"/>
  <c r="DY8" i="1"/>
  <c r="DP8" i="1"/>
  <c r="DO8" i="1"/>
  <c r="DA8" i="1"/>
  <c r="CZ8" i="1"/>
  <c r="CQ8" i="1"/>
  <c r="CP8" i="1"/>
  <c r="BI8" i="1"/>
  <c r="BH8" i="1"/>
  <c r="AY8" i="1"/>
  <c r="AX8" i="1"/>
  <c r="Q8" i="1" s="1"/>
  <c r="AO8" i="1"/>
  <c r="R8" i="1" s="1"/>
  <c r="AN8" i="1"/>
  <c r="FB4" i="1"/>
  <c r="EJ4" i="1"/>
  <c r="EI4" i="1"/>
  <c r="DZ4" i="1"/>
  <c r="DY4" i="1"/>
  <c r="DP4" i="1"/>
  <c r="DO4" i="1"/>
  <c r="DA4" i="1"/>
  <c r="CZ4" i="1"/>
  <c r="CQ4" i="1"/>
  <c r="CP4" i="1"/>
  <c r="BI4" i="1"/>
  <c r="BH4" i="1"/>
  <c r="AY4" i="1"/>
  <c r="AX4" i="1"/>
  <c r="Q4" i="1" s="1"/>
  <c r="AO4" i="1"/>
  <c r="R4" i="1" s="1"/>
  <c r="AN4" i="1"/>
  <c r="FB6" i="1"/>
  <c r="EJ6" i="1"/>
  <c r="EI6" i="1"/>
  <c r="DZ6" i="1"/>
  <c r="DY6" i="1"/>
  <c r="DP6" i="1"/>
  <c r="DO6" i="1"/>
  <c r="DA6" i="1"/>
  <c r="CZ6" i="1"/>
  <c r="CQ6" i="1"/>
  <c r="CP6" i="1"/>
  <c r="BI6" i="1"/>
  <c r="BH6" i="1"/>
  <c r="AY6" i="1"/>
  <c r="AX6" i="1"/>
  <c r="AO6" i="1"/>
  <c r="AN6" i="1"/>
  <c r="FB5" i="1"/>
  <c r="EJ5" i="1"/>
  <c r="EI5" i="1"/>
  <c r="DZ5" i="1"/>
  <c r="DY5" i="1"/>
  <c r="DP5" i="1"/>
  <c r="DO5" i="1"/>
  <c r="DA5" i="1"/>
  <c r="CZ5" i="1"/>
  <c r="CQ5" i="1"/>
  <c r="CP5" i="1"/>
  <c r="BI5" i="1"/>
  <c r="BH5" i="1"/>
  <c r="AY5" i="1"/>
  <c r="AX5" i="1"/>
  <c r="AO5" i="1"/>
  <c r="AN5" i="1"/>
  <c r="FB7" i="1"/>
  <c r="EJ7" i="1"/>
  <c r="EI7" i="1"/>
  <c r="DZ7" i="1"/>
  <c r="DY7" i="1"/>
  <c r="DP7" i="1"/>
  <c r="DO7" i="1"/>
  <c r="DA7" i="1"/>
  <c r="CZ7" i="1"/>
  <c r="CQ7" i="1"/>
  <c r="CP7" i="1"/>
  <c r="BI7" i="1"/>
  <c r="BH7" i="1"/>
  <c r="AY7" i="1"/>
  <c r="AX7" i="1"/>
  <c r="AO7" i="1"/>
  <c r="AN7" i="1"/>
  <c r="FB3" i="1"/>
  <c r="EJ3" i="1"/>
  <c r="EI3" i="1"/>
  <c r="DZ3" i="1"/>
  <c r="DY3" i="1"/>
  <c r="DP3" i="1"/>
  <c r="DO3" i="1"/>
  <c r="DA3" i="1"/>
  <c r="CZ3" i="1"/>
  <c r="CQ3" i="1"/>
  <c r="CP3" i="1"/>
  <c r="BI3" i="1"/>
  <c r="BH3" i="1"/>
  <c r="AY3" i="1"/>
  <c r="AX3" i="1"/>
  <c r="AO3" i="1"/>
  <c r="AN3" i="1"/>
  <c r="FB2" i="1"/>
  <c r="EJ2" i="1"/>
  <c r="EI2" i="1"/>
  <c r="DZ2" i="1"/>
  <c r="DY2" i="1"/>
  <c r="DP2" i="1"/>
  <c r="DO2" i="1"/>
  <c r="DA2" i="1"/>
  <c r="CZ2" i="1"/>
  <c r="CQ2" i="1"/>
  <c r="CP2" i="1"/>
  <c r="BI2" i="1"/>
  <c r="BH2" i="1"/>
  <c r="AY2" i="1"/>
  <c r="AX2" i="1"/>
  <c r="AO2" i="1"/>
  <c r="AN2" i="1"/>
  <c r="R6" i="1" l="1"/>
  <c r="Q6" i="1"/>
  <c r="R7" i="1"/>
  <c r="Q5" i="1"/>
  <c r="R5" i="1"/>
  <c r="Q7" i="1"/>
  <c r="R2" i="1"/>
  <c r="Q2" i="1"/>
  <c r="R3" i="1"/>
  <c r="Q3" i="1"/>
</calcChain>
</file>

<file path=xl/sharedStrings.xml><?xml version="1.0" encoding="utf-8"?>
<sst xmlns="http://schemas.openxmlformats.org/spreadsheetml/2006/main" count="519" uniqueCount="420">
  <si>
    <t>ACS_Code</t>
  </si>
  <si>
    <t>ACS_Name</t>
  </si>
  <si>
    <t>C_Ref_Eng</t>
  </si>
  <si>
    <t>C_Ref_Arab</t>
  </si>
  <si>
    <t>Gove_E</t>
  </si>
  <si>
    <t>Gove_A</t>
  </si>
  <si>
    <t>Dist_E</t>
  </si>
  <si>
    <t>Dist_A</t>
  </si>
  <si>
    <t>Month</t>
  </si>
  <si>
    <t>Action_E</t>
  </si>
  <si>
    <t>Action_A</t>
  </si>
  <si>
    <t>Khabar</t>
  </si>
  <si>
    <t>Source</t>
  </si>
  <si>
    <t>Time</t>
  </si>
  <si>
    <t>Date</t>
  </si>
  <si>
    <t>Total_D</t>
  </si>
  <si>
    <t>Total_Inj</t>
  </si>
  <si>
    <t>Death</t>
  </si>
  <si>
    <t>Injuries</t>
  </si>
  <si>
    <t>Male_D</t>
  </si>
  <si>
    <t>Male_I</t>
  </si>
  <si>
    <t>female_D</t>
  </si>
  <si>
    <t>female_I</t>
  </si>
  <si>
    <t>Children_D</t>
  </si>
  <si>
    <t>Children_I</t>
  </si>
  <si>
    <t>Obs_Duties</t>
  </si>
  <si>
    <t>ISF_GS</t>
  </si>
  <si>
    <t>Fire</t>
  </si>
  <si>
    <t>Arrested</t>
  </si>
  <si>
    <t>Lib_Y_N</t>
  </si>
  <si>
    <t>LA</t>
  </si>
  <si>
    <t>LA_DID</t>
  </si>
  <si>
    <t>LA_Bldg</t>
  </si>
  <si>
    <t>LA_V</t>
  </si>
  <si>
    <t>LAM_D</t>
  </si>
  <si>
    <t>LAM_I</t>
  </si>
  <si>
    <t>LAF_D</t>
  </si>
  <si>
    <t>LAF_I</t>
  </si>
  <si>
    <t>LA_TD</t>
  </si>
  <si>
    <t>LA_TI</t>
  </si>
  <si>
    <t>Unifil</t>
  </si>
  <si>
    <t>Un_DID</t>
  </si>
  <si>
    <t>Un_Bldg</t>
  </si>
  <si>
    <t>Un_V</t>
  </si>
  <si>
    <t>UNM_D</t>
  </si>
  <si>
    <t>UNM_I</t>
  </si>
  <si>
    <t>UNF_D</t>
  </si>
  <si>
    <t>UNF_I</t>
  </si>
  <si>
    <t>UN_TD</t>
  </si>
  <si>
    <t>UN_TI</t>
  </si>
  <si>
    <t>Muni</t>
  </si>
  <si>
    <t>Muni_DID</t>
  </si>
  <si>
    <t>Muni_bldg</t>
  </si>
  <si>
    <t>Muni_empl</t>
  </si>
  <si>
    <t>MuniM_D</t>
  </si>
  <si>
    <t>MuniM_I</t>
  </si>
  <si>
    <t>MuniF_D</t>
  </si>
  <si>
    <t>MuniF_I</t>
  </si>
  <si>
    <t>Muni_TD</t>
  </si>
  <si>
    <t>Muni_TI</t>
  </si>
  <si>
    <t>School</t>
  </si>
  <si>
    <t>Sch_DID</t>
  </si>
  <si>
    <t>School_Name</t>
  </si>
  <si>
    <t>Damage_Level</t>
  </si>
  <si>
    <t>Uni</t>
  </si>
  <si>
    <t>Uni_DID</t>
  </si>
  <si>
    <t>UNI_Name</t>
  </si>
  <si>
    <t>Church</t>
  </si>
  <si>
    <t>Chu_DID</t>
  </si>
  <si>
    <t>Chu_N</t>
  </si>
  <si>
    <t>Mosque</t>
  </si>
  <si>
    <t>Mos_DID</t>
  </si>
  <si>
    <t>Mosque_N</t>
  </si>
  <si>
    <t>Ceme</t>
  </si>
  <si>
    <t>Ceme_DID</t>
  </si>
  <si>
    <t>Ceme_N</t>
  </si>
  <si>
    <t>Releg</t>
  </si>
  <si>
    <t>Releg_DID</t>
  </si>
  <si>
    <t>Releg_N</t>
  </si>
  <si>
    <t>Archeo</t>
  </si>
  <si>
    <t>Arch_DID</t>
  </si>
  <si>
    <t>Arch_N</t>
  </si>
  <si>
    <t>Hosp</t>
  </si>
  <si>
    <t>Hos_DID</t>
  </si>
  <si>
    <t>Hos_Status</t>
  </si>
  <si>
    <t>Hos_N</t>
  </si>
  <si>
    <t>Dam_Level</t>
  </si>
  <si>
    <t>NBR_EVAP</t>
  </si>
  <si>
    <t>HosM_D</t>
  </si>
  <si>
    <t>HosM_I</t>
  </si>
  <si>
    <t>HosF_D</t>
  </si>
  <si>
    <t>HosF_I</t>
  </si>
  <si>
    <t>HosD</t>
  </si>
  <si>
    <t>HosI</t>
  </si>
  <si>
    <t>HC</t>
  </si>
  <si>
    <t>HC_Rela</t>
  </si>
  <si>
    <t>HC_DID</t>
  </si>
  <si>
    <t>HCM_D</t>
  </si>
  <si>
    <t>HCM_I</t>
  </si>
  <si>
    <t>HCF_D</t>
  </si>
  <si>
    <t>HCF_I</t>
  </si>
  <si>
    <t>HCD</t>
  </si>
  <si>
    <t>HCI</t>
  </si>
  <si>
    <t>Emer</t>
  </si>
  <si>
    <t>E_Cars</t>
  </si>
  <si>
    <t>Car_nbr</t>
  </si>
  <si>
    <t>Emer_Rela</t>
  </si>
  <si>
    <t>EmerD</t>
  </si>
  <si>
    <t>EmerI</t>
  </si>
  <si>
    <t>Press</t>
  </si>
  <si>
    <t>Channel</t>
  </si>
  <si>
    <t>Press_DID</t>
  </si>
  <si>
    <t>PressM_D</t>
  </si>
  <si>
    <t>PressM_I</t>
  </si>
  <si>
    <t>PressF_D</t>
  </si>
  <si>
    <t>PressF_I</t>
  </si>
  <si>
    <t>PressD</t>
  </si>
  <si>
    <t>PressI</t>
  </si>
  <si>
    <t>Gov</t>
  </si>
  <si>
    <t>Gov_Bui</t>
  </si>
  <si>
    <t>Gov_N</t>
  </si>
  <si>
    <t>GB_DID</t>
  </si>
  <si>
    <t>GBM_D</t>
  </si>
  <si>
    <t>GBM_I</t>
  </si>
  <si>
    <t>GBF_D</t>
  </si>
  <si>
    <t>GBF_I</t>
  </si>
  <si>
    <t>GBD</t>
  </si>
  <si>
    <t>GBI</t>
  </si>
  <si>
    <t>Road</t>
  </si>
  <si>
    <t>Road_D_ID</t>
  </si>
  <si>
    <t>Blocked</t>
  </si>
  <si>
    <t>Road_Name</t>
  </si>
  <si>
    <t>Bridge</t>
  </si>
  <si>
    <t>Bridge_Name</t>
  </si>
  <si>
    <t>Car</t>
  </si>
  <si>
    <t>CarD</t>
  </si>
  <si>
    <t>CarI</t>
  </si>
  <si>
    <t>CarM_D</t>
  </si>
  <si>
    <t>CarM_I</t>
  </si>
  <si>
    <t>CarF_D</t>
  </si>
  <si>
    <t>CarF_I</t>
  </si>
  <si>
    <t>CarC_D</t>
  </si>
  <si>
    <t>CarC_I</t>
  </si>
  <si>
    <t>Moto</t>
  </si>
  <si>
    <t>Moto_DID</t>
  </si>
  <si>
    <t>Moto_D</t>
  </si>
  <si>
    <t>Moto_I</t>
  </si>
  <si>
    <t>Con_Veh</t>
  </si>
  <si>
    <t>Con_D</t>
  </si>
  <si>
    <t>Con_I</t>
  </si>
  <si>
    <t>Excavator</t>
  </si>
  <si>
    <t>Bulldozer</t>
  </si>
  <si>
    <t>Camion</t>
  </si>
  <si>
    <t>Bobcat</t>
  </si>
  <si>
    <t>Total _Con</t>
  </si>
  <si>
    <t>Tracteur</t>
  </si>
  <si>
    <t>Crossing</t>
  </si>
  <si>
    <t>Litani</t>
  </si>
  <si>
    <t>Zahrani</t>
  </si>
  <si>
    <t>Drone_F</t>
  </si>
  <si>
    <t>Water</t>
  </si>
  <si>
    <t>Water_DID</t>
  </si>
  <si>
    <t>Water_Type</t>
  </si>
  <si>
    <t>Electric</t>
  </si>
  <si>
    <t>Electric_DID</t>
  </si>
  <si>
    <t>Electric_Type</t>
  </si>
  <si>
    <t>Olives Trees_D</t>
  </si>
  <si>
    <t>MJnoub</t>
  </si>
  <si>
    <t>MJ_DID</t>
  </si>
  <si>
    <t>Other</t>
  </si>
  <si>
    <t>Other_DID</t>
  </si>
  <si>
    <t>Other_type</t>
  </si>
  <si>
    <t>OtherD</t>
  </si>
  <si>
    <t>Other_I</t>
  </si>
  <si>
    <t>No_warning</t>
  </si>
  <si>
    <t>Warning</t>
  </si>
  <si>
    <t>Genocide</t>
  </si>
  <si>
    <t>Building</t>
  </si>
  <si>
    <t>Apart</t>
  </si>
  <si>
    <t>NOTE</t>
  </si>
  <si>
    <t>MOH</t>
  </si>
  <si>
    <t>Worker Name</t>
  </si>
  <si>
    <t>Links</t>
  </si>
  <si>
    <t>Martyrs</t>
  </si>
  <si>
    <t>Note</t>
  </si>
  <si>
    <t>تبنين</t>
  </si>
  <si>
    <t>Bombs</t>
  </si>
  <si>
    <t>قصف وغارات</t>
  </si>
  <si>
    <t>غارة على بلدة تبنين</t>
  </si>
  <si>
    <t>bintjbeilnews</t>
  </si>
  <si>
    <t>ID</t>
  </si>
  <si>
    <t>Open</t>
  </si>
  <si>
    <t>مستشفى تبنين الحكومي</t>
  </si>
  <si>
    <t>سراي تبنين الحكومي</t>
  </si>
  <si>
    <t xml:space="preserve"> الدمار جراء الغارة التي استهدفت منزلاً قريب من السرايا في بلدة تبنين</t>
  </si>
  <si>
    <t>غارة على تبنين قرب المستشفى الحكومي -الوكالة اللبنانية: انتشال شهيد من تحت الركام في بلدة تبنين</t>
  </si>
  <si>
    <t>ST</t>
  </si>
  <si>
    <t>https://t.me/bintjbeilnews/174062</t>
  </si>
  <si>
    <t>1 martyr</t>
  </si>
  <si>
    <t>Bent Jbayl</t>
  </si>
  <si>
    <t>Mining &amp; Detonation</t>
  </si>
  <si>
    <t>تلغيم وتفجير</t>
  </si>
  <si>
    <t>صورة جويّة حديثة تظهر قيام جيش العدو بتفجير مجمع المرحوم موسى عباس في مدينة بنت جبيل وهو أحد أهم معالم المدينة</t>
  </si>
  <si>
    <t>Janoubana</t>
  </si>
  <si>
    <t>الهيئة الصحية الاسلامية</t>
  </si>
  <si>
    <t>D</t>
  </si>
  <si>
    <t>Totally Destroyed</t>
  </si>
  <si>
    <t>مجمع المرحوم الحاج موسى عباس الرياضي</t>
  </si>
  <si>
    <t>تدمير مركز الهيئة الصحية الاسلامية خلف مجمع المرحوم موسى عباس في بنت جبيل https://www.instagram.com/p/DXv531VAIa9/?utm_source=ig_web_copy_link</t>
  </si>
  <si>
    <t>تم رصد عملية نسف في لبنان نسف مجمع موسى عباس المناطق المتأثرة: بنت جبيل</t>
  </si>
  <si>
    <t>GW</t>
  </si>
  <si>
    <t>https://t.me/Janoubana/52128</t>
  </si>
  <si>
    <t>Haddatha</t>
  </si>
  <si>
    <t>Shooting</t>
  </si>
  <si>
    <t>إطلاق نار</t>
  </si>
  <si>
    <t>قوات الاحتلال تطلق النار باتجاه عدد من الاهالي عند اطراف بلدة حداثا كانو يتوجهون لاتمام عملية دفن في جبانة البلدة بمواكبة الجيش اللبناني كما رصد تمركز ٣ دبابات ميركافا وجرافة d9 بالقرب من جبانة بلدة حداثا</t>
  </si>
  <si>
    <t>https://t.me/Janoubana/69993</t>
  </si>
  <si>
    <t>Zaoutar Ech-Charqiye</t>
  </si>
  <si>
    <t>Ground Incursion</t>
  </si>
  <si>
    <t>توغل بري</t>
  </si>
  <si>
    <t>حزام ناري على زوطر وتقدم قوات الاحتلال باتجاه النهر</t>
  </si>
  <si>
    <t>https://t.me/Janoubana/52918</t>
  </si>
  <si>
    <t>سلسلة غارات معادية على الوادي بين زوطر و ديرسريان قبل بعض الوقت.</t>
  </si>
  <si>
    <t>not specified number of bombs</t>
  </si>
  <si>
    <t>Miye ou Miyé</t>
  </si>
  <si>
    <t xml:space="preserve"> Warning Messages</t>
  </si>
  <si>
    <t xml:space="preserve"> اتصالات تحذيرية</t>
  </si>
  <si>
    <t>إخلاء مبنى على طريق المية ومية بعد تلقي أحد قاطنيه اتصالاً تحذيرياً</t>
  </si>
  <si>
    <t>nna-leb</t>
  </si>
  <si>
    <t>https://nna-leb.gov.lb/ar/news/short/544404</t>
  </si>
  <si>
    <t>قلعة الشقيف</t>
  </si>
  <si>
    <t>Installing Surveillance Devices</t>
  </si>
  <si>
    <t>اجهزة تجسس</t>
  </si>
  <si>
    <t>مواطن ينتزع العلم الاسرائيلي بعدما زرعته قوة إسرائيلية على قلعة الشقيف مع كاميرا للتجسس تعمل على الطاقة الشمسية</t>
  </si>
  <si>
    <t>alimortada963</t>
  </si>
  <si>
    <t>https://t.me/alimortada963/17664</t>
  </si>
  <si>
    <t>القنطرة</t>
  </si>
  <si>
    <t>Burning Properties</t>
  </si>
  <si>
    <t>احراق ممتلكات</t>
  </si>
  <si>
    <t>جيش العدو الإسرائيلي يقوم بحرق المنازل في بلدة القنطرة</t>
  </si>
  <si>
    <t>https://t.me/Janoubana/49567</t>
  </si>
  <si>
    <t>بنت جبيل</t>
  </si>
  <si>
    <t>Raiding Homes    </t>
  </si>
  <si>
    <t>اقتحام منازل</t>
  </si>
  <si>
    <t>صورةٌ تُثير ضجةً واسعةً بين متصفحي الإنترنت اللبنانيين بعد أن نشرها موقع "بنت جبيل" الإلكتروني، زاعماً أنها لمطبخٍ داخل منزلٍ في بنت جبيل جنوب لبنان.</t>
  </si>
  <si>
    <t>bilaalbader</t>
  </si>
  <si>
    <t>https://t.me/bilaalbader/144991</t>
  </si>
  <si>
    <t>النبطية</t>
  </si>
  <si>
    <t>Decoy Flares</t>
  </si>
  <si>
    <t>القاء بالونات حرارية</t>
  </si>
  <si>
    <t>الطيران الحربي الصهيوني يقوم بإلقاء بوالين حرارية فوق منطقة النبطية</t>
  </si>
  <si>
    <t>mehwaralmokawma</t>
  </si>
  <si>
    <t>https://t.me/mehwaralmokawma/530730</t>
  </si>
  <si>
    <t>Iskandarouna Sour</t>
  </si>
  <si>
    <t>Stationing</t>
  </si>
  <si>
    <t>تمركز</t>
  </si>
  <si>
    <t xml:space="preserve">استهدف مجاهدو المُقاومة الإسلاميّة عند السّاعة 17:16 الثّلاثاء 12-05-2026 قوّة إسرائيليّة متموضعة داخل منزل في بلدة البيّاضة بِمسيّرة انقضاضيّة. </t>
  </si>
  <si>
    <t>mmirleb</t>
  </si>
  <si>
    <t>House-same one</t>
  </si>
  <si>
    <t>استهدف مجاهدو المُقاومة الإسلاميّة عند السّاعة 17:30 الثّلاثاء 12-05-2026 قوّة إسرائيليّة متموضعة داخل منزل في بلدة البيّاضة للمرّة الثّانية بِمسيّرة انقضاضيّة</t>
  </si>
  <si>
    <t>RA</t>
  </si>
  <si>
    <t>https://t.me/mmirleb/16064</t>
  </si>
  <si>
    <t>Borj En-Naqoura</t>
  </si>
  <si>
    <t>Naval Incursion</t>
  </si>
  <si>
    <t>توغل بحري</t>
  </si>
  <si>
    <t>زورق للعدو  الإسرائيلي يقترب من الشواطئ اللبنانية مقابل الناقورة</t>
  </si>
  <si>
    <t>رُصد هذا الزورق اليوم قبالة بلدة المنصوري .. الأمر ليس بجديد، زوارق العدو تتحرك منذ مدة انطلاقاً من مرفأ الناقورة باتجاه المنطقة البحرية المقابلة لهذه المنطقة. الزورق تستخدمه بحرية الاحتلال لتنفيذ أعمال لتأمين الموانئ، والقيام بأعمال الدورية السريعة.</t>
  </si>
  <si>
    <t>https://t.me/Janoubana/8425</t>
  </si>
  <si>
    <t>Arnoun</t>
  </si>
  <si>
    <t>Bulldozing</t>
  </si>
  <si>
    <t>حفر وجرف</t>
  </si>
  <si>
    <t>تم جرف جبانة بلدة أرنون بالكامل</t>
  </si>
  <si>
    <t>جبانة أرنون</t>
  </si>
  <si>
    <t>Cemetery</t>
  </si>
  <si>
    <t>https://t.me/Janoubana/75421</t>
  </si>
  <si>
    <t>البقاع الشمالي</t>
  </si>
  <si>
    <t>Supersonic boom</t>
  </si>
  <si>
    <t>خرق جدار الصوت</t>
  </si>
  <si>
    <r>
      <rPr>
        <sz val="12"/>
        <color indexed="10"/>
        <rFont val="Calibri"/>
        <family val="2"/>
      </rPr>
      <t>جدار صوت</t>
    </r>
    <r>
      <rPr>
        <sz val="12"/>
        <color indexed="8"/>
        <rFont val="Calibri"/>
        <family val="2"/>
      </rPr>
      <t xml:space="preserve"> فوق البقاع الشمالي</t>
    </r>
  </si>
  <si>
    <t>https://t.me/Janoubana/52285</t>
  </si>
  <si>
    <t>Aain Aarab Marjaayoun</t>
  </si>
  <si>
    <t>Kidnapping</t>
  </si>
  <si>
    <t>خطف</t>
  </si>
  <si>
    <t>الجيش الإسرائيلي يخطتف 4 أشخاص عند مثلث المجيدية الماري عين عرب</t>
  </si>
  <si>
    <t>Bintjbeil</t>
  </si>
  <si>
    <t>FZ</t>
  </si>
  <si>
    <t>https://t.me/bintjbeilnews/185497</t>
  </si>
  <si>
    <t>Warning Messages</t>
  </si>
  <si>
    <t>رسالة تحذيرية</t>
  </si>
  <si>
    <t>دورية من العدو الإسرائيلي دخلت إلى بلدة عين عرب الحدودية، وطلبت من أهلها مغادرتها خلال ساعتين.</t>
  </si>
  <si>
    <t>https://www.instagram.com/reel/DYgmomwmsou/?utm_source=ig_web_copy_link&amp;igsh=NTc4MTIwNjQ2YQ==</t>
  </si>
  <si>
    <t>https://t.me/alimortada963/18144</t>
  </si>
  <si>
    <t>Aali Et-Taher</t>
  </si>
  <si>
    <t xml:space="preserve"> رمي أجسام مجهولة</t>
  </si>
  <si>
    <t>محلقة إسرائيلية تلقي متفجرات على تلة علي الطاهر من جديد</t>
  </si>
  <si>
    <t>مجددا وللمرة الثالثة محلقة معادية تقوم برمي مواد متفجرة على منطقة حرش علي الطاهر. https://t.me/mehwaralmokawma/586285</t>
  </si>
  <si>
    <t>https://t.me/Janoubana/8969</t>
  </si>
  <si>
    <t>Nabatiyeh El-Faouka</t>
  </si>
  <si>
    <t>Throwing Foreign Objects</t>
  </si>
  <si>
    <t>درون معاديـة ترمي أجسام مشبوهة فوق النبطية الفوقا</t>
  </si>
  <si>
    <t>sameralhajali</t>
  </si>
  <si>
    <t>أفادت المعلومات بقيام الدرونات بإلقاء أجسام مشبوهة يُرجّح أنها مواد متفجرة، بالتزامن مع تحليق درون عدد(٢) مسلحتين في أجواء المنطقة (mehwaralmokawma)</t>
  </si>
  <si>
    <t>https://t.me/sameralhajali/8236</t>
  </si>
  <si>
    <t>Throwing Foreign  Substances</t>
  </si>
  <si>
    <t xml:space="preserve"> رمي مواد مجهولة</t>
  </si>
  <si>
    <t>Qantara</t>
  </si>
  <si>
    <t>Stealing Homes    </t>
  </si>
  <si>
    <t>سرقة منازل</t>
  </si>
  <si>
    <t>السّاعة 10:00 وبعد رصد آليّة نقل عسكريّة إسرائيلية محمّلة بالممتلكات التي يسرقها جنود جيش العدو الإسرائيلي من منازل المدنيين، استهدفها مجاهدو المقاومة الإسلاميّة في تلّة الصلعة في بلدة القنطرة بمحلّقة أبابيل الانقضاضية وشوهدت الآلية تحترق لساعة كاملة بعد إصابتها</t>
  </si>
  <si>
    <t>https://t.me/sameralhajali/6841</t>
  </si>
  <si>
    <t>Kfar Roummane</t>
  </si>
  <si>
    <t>Drone Failure</t>
  </si>
  <si>
    <t>سقوط مسيرة</t>
  </si>
  <si>
    <t>سقوط درون إسرائيلية في كفررمان، وعاود الاحتـلال تفجيرها في مكان سقوطها، من دون وقوع إصابات.</t>
  </si>
  <si>
    <t xml:space="preserve">سقوط درون اسرائيلية في بلدة كفررمان تسببت في حريق </t>
  </si>
  <si>
    <t>https://t.me/Janoubana/8711</t>
  </si>
  <si>
    <t>Interceptor Missile</t>
  </si>
  <si>
    <t>صاروخ اعتراضي</t>
  </si>
  <si>
    <r>
      <rPr>
        <sz val="12"/>
        <color rgb="FFFF0000"/>
        <rFont val="Calibri"/>
        <family val="2"/>
      </rPr>
      <t>3</t>
    </r>
    <r>
      <rPr>
        <sz val="12"/>
        <color theme="1"/>
        <rFont val="Calibri"/>
        <family val="2"/>
      </rPr>
      <t xml:space="preserve"> </t>
    </r>
    <r>
      <rPr>
        <sz val="12"/>
        <color rgb="FFFF0000"/>
        <rFont val="Calibri"/>
        <family val="2"/>
      </rPr>
      <t>صواريخ إعتراضية</t>
    </r>
    <r>
      <rPr>
        <sz val="12"/>
        <color theme="1"/>
        <rFont val="Calibri"/>
        <family val="2"/>
      </rPr>
      <t xml:space="preserve"> في سماء بنت جبيل</t>
    </r>
  </si>
  <si>
    <t>https://t.me/Janoubana/54933</t>
  </si>
  <si>
    <t>Mansouri Sour</t>
  </si>
  <si>
    <t>Helicopter Air-Ground Missile</t>
  </si>
  <si>
    <t>صاروخ مروحي جو أرض</t>
  </si>
  <si>
    <t>مروحية إسرائيلية أطلقت صاروخاً باتجاه بلدة المنصوري في قضاء صور</t>
  </si>
  <si>
    <t>almayadeen</t>
  </si>
  <si>
    <t>https://t.me/almayadeen/373584</t>
  </si>
  <si>
    <t>Haris</t>
  </si>
  <si>
    <t>Broadcast Provocative Statements</t>
  </si>
  <si>
    <t>عبارات تحريضية</t>
  </si>
  <si>
    <t>درون إسرائيلية تبث أصوات اسعاف فوق حاريص</t>
  </si>
  <si>
    <t>https://t.me/Janoubana/60477</t>
  </si>
  <si>
    <t>Ibl Es-Saqi</t>
  </si>
  <si>
    <t>Arrest Operation</t>
  </si>
  <si>
    <t>عملية احتجاز</t>
  </si>
  <si>
    <t xml:space="preserve"> قوات العدو أفرجت عن الراعي محمد هلال سوري الجنسية الذي اختطفته أول من أمس خلال توغل دورية معادية في خراج إبل السقي باتجاه بلدة الماري</t>
  </si>
  <si>
    <t>alakhbar_news</t>
  </si>
  <si>
    <t>Y</t>
  </si>
  <si>
    <t>https://t.me/alakhbar_news/89755</t>
  </si>
  <si>
    <t>Sweeping Operations</t>
  </si>
  <si>
    <t>عملية تمشيط</t>
  </si>
  <si>
    <t>قوات جيش العدو الصهيوني تقوم بحملة تمشيط بالرشاشات نحو بلدة زوطر الشرقية</t>
  </si>
  <si>
    <t>https://t.me/mehwaralmokawma/546132</t>
  </si>
  <si>
    <t>Aerial Sweep</t>
  </si>
  <si>
    <t>عملية تمشيط مروحي</t>
  </si>
  <si>
    <t>طائرات الاحتلال المروحية تقوم بعمليات تمشيط في بلدة القنطرة</t>
  </si>
  <si>
    <t>nabatiehchannel</t>
  </si>
  <si>
    <t>https://t.me/nabatiehchannel/178873</t>
  </si>
  <si>
    <t>Nabatieh Et-Tahta</t>
  </si>
  <si>
    <t>Feigned Attacks</t>
  </si>
  <si>
    <t>غارات وهمية</t>
  </si>
  <si>
    <t>طيران العدو الحربي يخرق أجواء منطقة النبطية وإقليم التفاح وينفّذ غارات وهمية</t>
  </si>
  <si>
    <t>https://t.me/mehwaralmokawma/572323</t>
  </si>
  <si>
    <t>Bissariye</t>
  </si>
  <si>
    <t>Warning Raid</t>
  </si>
  <si>
    <t>غارة تحذيرية</t>
  </si>
  <si>
    <t>غارة تحذيرية من مسيرة على البيسارية</t>
  </si>
  <si>
    <t>https://t.me/Janoubana/58408</t>
  </si>
  <si>
    <t>Borj qalaouiye</t>
  </si>
  <si>
    <t>Tank Fire</t>
  </si>
  <si>
    <t>قذائف الدبابات</t>
  </si>
  <si>
    <r>
      <t>دبابة "ميركافا" إسرائيليّة استهدفت بلدة برج قلاويه ب</t>
    </r>
    <r>
      <rPr>
        <sz val="12"/>
        <color rgb="FFFF0000"/>
        <rFont val="Calibri"/>
        <family val="2"/>
      </rPr>
      <t>ـ3 قذائف</t>
    </r>
  </si>
  <si>
    <t>Lebanon24</t>
  </si>
  <si>
    <t>https://nitter.net/Lebanon24/status/2064436839142826159#m</t>
  </si>
  <si>
    <t>Fissile Shells</t>
  </si>
  <si>
    <t>قذائف انشطارية</t>
  </si>
  <si>
    <t>قصف مدفعي معادٍ ٳنشطاري يستهدف بلدة النبطية الفوقا</t>
  </si>
  <si>
    <t>https://t.me/mehwaralmokawma/564387</t>
  </si>
  <si>
    <t>Phosphorus Bombs</t>
  </si>
  <si>
    <t xml:space="preserve">قذائف فوسفورية </t>
  </si>
  <si>
    <t>قصف مدفعي فوسفوري على النبطية الفوقا</t>
  </si>
  <si>
    <t>MTVLebanonNews</t>
  </si>
  <si>
    <t>https://nitter.net/MTVLebanonNews/status/2068080671696802281#m</t>
  </si>
  <si>
    <t>Aadchit El-Qoussair</t>
  </si>
  <si>
    <t>Unexploded Shells</t>
  </si>
  <si>
    <t>قذائف لم تنفجر</t>
  </si>
  <si>
    <t>غارة على محيط بلدة القصير - ديرسريان، وادي الخنآزير والصاروخ لم ينفجر</t>
  </si>
  <si>
    <t>https://t.me/mehwaralmokawma/581534</t>
  </si>
  <si>
    <t>Artillery Shelling</t>
  </si>
  <si>
    <t>قصف مدفعي</t>
  </si>
  <si>
    <t xml:space="preserve">قصف مدفعي إسرائيلي استهدف بلدة المنصوري </t>
  </si>
  <si>
    <t>https://nitter.net/Lebanon24/status/2069041147117232148#m</t>
  </si>
  <si>
    <t>Cutting Trees</t>
  </si>
  <si>
    <t>قطع اشجار</t>
  </si>
  <si>
    <t>قام العدو البربري بتكسير جميع الأشجار المزروعة على جوانب طرقات بنت جبيل.</t>
  </si>
  <si>
    <t>https://t.me/mehwaralmokawma/578544</t>
  </si>
  <si>
    <t>شبعا</t>
  </si>
  <si>
    <t>Road Blockage</t>
  </si>
  <si>
    <t>قطع طريق</t>
  </si>
  <si>
    <t xml:space="preserve">العدو الإسرائيلي قطع الطريق بين شبعا وكفرشوبا في بركة النقار بساتر ترابي </t>
  </si>
  <si>
    <t xml:space="preserve">الطريق بين شبعا وكفرشوبا </t>
  </si>
  <si>
    <t>https://t.me/alakhbar_news/83887</t>
  </si>
  <si>
    <t>Grenades</t>
  </si>
  <si>
    <t>قنابل</t>
  </si>
  <si>
    <t>محلقة إسرائيلية قامت بإلقاء قنبلة على مشاع بلدة المنصوري</t>
  </si>
  <si>
    <t>https://t.me/Janoubana/8513</t>
  </si>
  <si>
    <t>Smoke Grenades</t>
  </si>
  <si>
    <t>قنابل دخانية</t>
  </si>
  <si>
    <t>إلقاء قنابل دخانية محيط تلة علي الطاهر في هذه الأثناء</t>
  </si>
  <si>
    <t>https://t.me/Janoubana/69548</t>
  </si>
  <si>
    <t>Sound Bombs</t>
  </si>
  <si>
    <t>قنابل صوتية</t>
  </si>
  <si>
    <r>
      <t xml:space="preserve"> ألقت محلقة معادية قنبلة صوتية في محيط عدد من الشبان في بلدة حداثا ما أدى الى </t>
    </r>
    <r>
      <rPr>
        <sz val="12"/>
        <color rgb="FFFF0000"/>
        <rFont val="Calibri"/>
        <family val="2"/>
        <scheme val="minor"/>
      </rPr>
      <t>اصابة ٤ منهم بجروح طفيفة</t>
    </r>
  </si>
  <si>
    <t>NNALeb</t>
  </si>
  <si>
    <t>https://www.nna-leb.gov.lb/ar/news/547280/3-%D8%BA%D8%A7%D8%B1%D8%A7%D8%AA-%D9%85%D8%AA%D8%AA%D8%A7%D9%84%D9%8A%D8%A9-%D8%A7%D8%B3%D8%AA%D9%87%D8%AF%D9%81%D8%AA-%D8%B3%D8%A7%D8%AD%D8%A9-%D9%85%D9%8A%D9%81%D8%AF%D9%88%D9%86-%D9%884-%D8%AC%D8%B1%D8%AD%D9%89-%D8%A8%D9%82%D9%86%D8%A8%D9%84%D8%A9-%D8%B5%D9%88%D8%AA%D9%8A%D8%A9-%D8%B9%D9%84%D9%89-%D8%AD%D8%AF%D8%A7%D8%AB%D8%A7-2</t>
  </si>
  <si>
    <t>Rihane Jezzine</t>
  </si>
  <si>
    <t>Cluster Bombs</t>
  </si>
  <si>
    <t>قنابل عنقودية</t>
  </si>
  <si>
    <t>إلقاء قنابل عنقودية على الريحان</t>
  </si>
  <si>
    <t>https://t.me/Janoubana/66093</t>
  </si>
  <si>
    <t>Flare Bomb</t>
  </si>
  <si>
    <t xml:space="preserve"> قنابل مضيئة وحارقة</t>
  </si>
  <si>
    <t>قنابل مضيئة و حارقة استهدفت علي الطاهر</t>
  </si>
  <si>
    <t>https://t.me/sameralhajali/7342</t>
  </si>
  <si>
    <t>Suicide Drone</t>
  </si>
  <si>
    <t xml:space="preserve">مسيرة مفخخة </t>
  </si>
  <si>
    <t>محلقة قامت بتفجير نفسها فوق مشاع  المنصوري</t>
  </si>
  <si>
    <t>https://t.me/Janoubana/75197</t>
  </si>
  <si>
    <t>مناشير تحريضية</t>
  </si>
  <si>
    <t>العدو الصهيوني يلقي مناشير فوق بلدة المنصوري</t>
  </si>
  <si>
    <t>https://t.me/sameralhajali/8777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</si>
</sst>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m/d/yyyy;@"/>
    <numFmt numFmtId="166" formatCode="[$-F400]h:mm:ss\ AM/PM"/>
  </numFmts>
  <fonts count="19" x14ac:knownFonts="1">
    <font>
      <sz val="11"/>
      <color theme="1"/>
      <name val="Calibri"/>
      <family val="2"/>
      <scheme val="minor"/>
    </font>
    <font>
      <b/>
      <sz val="11"/>
      <color theme="1"/>
      <name val="Calibri"/>
      <family val="2"/>
      <scheme val="minor"/>
    </font>
    <font>
      <sz val="12"/>
      <color theme="1"/>
      <name val="Calibri"/>
      <family val="2"/>
      <scheme val="minor"/>
    </font>
    <font>
      <b/>
      <sz val="10"/>
      <color theme="1"/>
      <name val="Calibri"/>
      <family val="2"/>
      <scheme val="minor"/>
    </font>
    <font>
      <b/>
      <sz val="12"/>
      <color theme="1"/>
      <name val="Calibri"/>
      <family val="2"/>
      <scheme val="minor"/>
    </font>
    <font>
      <sz val="10"/>
      <color theme="1"/>
      <name val="Calibri"/>
      <family val="2"/>
      <scheme val="minor"/>
    </font>
    <font>
      <sz val="12"/>
      <color theme="1"/>
      <name val="Calibri"/>
      <family val="2"/>
    </font>
    <font>
      <b/>
      <sz val="12"/>
      <color theme="1"/>
      <name val="Calibri"/>
      <family val="2"/>
    </font>
    <font>
      <sz val="12"/>
      <color rgb="FFFF0000"/>
      <name val="Calibri"/>
      <family val="2"/>
    </font>
    <font>
      <u/>
      <sz val="11"/>
      <color theme="10"/>
      <name val="Calibri"/>
      <family val="2"/>
      <scheme val="minor"/>
    </font>
    <font>
      <u/>
      <sz val="12"/>
      <color theme="10"/>
      <name val="Calibri"/>
      <family val="2"/>
      <scheme val="minor"/>
    </font>
    <font>
      <u/>
      <sz val="12"/>
      <color theme="1"/>
      <name val="Calibri"/>
      <family val="2"/>
      <scheme val="minor"/>
    </font>
    <font>
      <sz val="12"/>
      <color rgb="FF000000"/>
      <name val="Calibri"/>
      <family val="2"/>
    </font>
    <font>
      <u/>
      <sz val="12"/>
      <color theme="10"/>
      <name val="Calibri"/>
      <family val="2"/>
    </font>
    <font>
      <sz val="12"/>
      <color indexed="10"/>
      <name val="Calibri"/>
      <family val="2"/>
    </font>
    <font>
      <sz val="12"/>
      <color indexed="8"/>
      <name val="Calibri"/>
      <family val="2"/>
    </font>
    <font>
      <sz val="12"/>
      <color rgb="FFFF0000"/>
      <name val="Calibri"/>
      <family val="2"/>
      <scheme val="minor"/>
    </font>
    <font>
      <sz val="12"/>
      <name val="Calibri"/>
      <family val="2"/>
      <scheme val="minor"/>
    </font>
    <font>
      <sz val="11"/>
      <name val="Calibri"/>
      <family val="2"/>
      <scheme val="minor"/>
    </font>
  </fonts>
  <fills count="14">
    <fill>
      <patternFill patternType="none"/>
    </fill>
    <fill>
      <patternFill patternType="gray125"/>
    </fill>
    <fill>
      <patternFill patternType="solid">
        <fgColor theme="7" tint="0.59999389629810485"/>
        <bgColor indexed="64"/>
      </patternFill>
    </fill>
    <fill>
      <patternFill patternType="solid">
        <fgColor rgb="FFFFCCFF"/>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99FF"/>
        <bgColor indexed="64"/>
      </patternFill>
    </fill>
    <fill>
      <patternFill patternType="solid">
        <fgColor rgb="FFFF0000"/>
        <bgColor indexed="64"/>
      </patternFill>
    </fill>
    <fill>
      <patternFill patternType="solid">
        <fgColor rgb="FFF3B9F4"/>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63">
    <xf numFmtId="0" fontId="0" fillId="0" borderId="0" xfId="0"/>
    <xf numFmtId="0" fontId="2" fillId="0" borderId="0" xfId="0" applyFont="1" applyAlignment="1">
      <alignment horizontal="center"/>
    </xf>
    <xf numFmtId="0" fontId="1"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164" fontId="4" fillId="2" borderId="0" xfId="0" applyNumberFormat="1" applyFont="1" applyFill="1" applyAlignment="1">
      <alignment horizontal="center" vertical="center"/>
    </xf>
    <xf numFmtId="14" fontId="4" fillId="2" borderId="0" xfId="0" applyNumberFormat="1"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3" fillId="9" borderId="0" xfId="0" applyFont="1" applyFill="1" applyAlignment="1">
      <alignment horizontal="center" vertical="center"/>
    </xf>
    <xf numFmtId="0" fontId="3" fillId="4" borderId="0" xfId="0" applyFont="1" applyFill="1" applyAlignment="1">
      <alignment horizontal="center"/>
    </xf>
    <xf numFmtId="0" fontId="3" fillId="7" borderId="0" xfId="0" applyFont="1" applyFill="1" applyAlignment="1">
      <alignment horizontal="center"/>
    </xf>
    <xf numFmtId="0" fontId="3" fillId="10" borderId="0" xfId="0" applyFont="1" applyFill="1" applyAlignment="1">
      <alignment horizontal="center" vertical="center"/>
    </xf>
    <xf numFmtId="0" fontId="3" fillId="11" borderId="0" xfId="0" applyFont="1" applyFill="1" applyAlignment="1">
      <alignment horizontal="center" vertical="center"/>
    </xf>
    <xf numFmtId="0" fontId="3" fillId="12" borderId="0" xfId="0" applyFont="1" applyFill="1" applyAlignment="1">
      <alignment horizontal="center" vertical="center"/>
    </xf>
    <xf numFmtId="0" fontId="3" fillId="13" borderId="0" xfId="0" applyFont="1" applyFill="1" applyAlignment="1">
      <alignment horizontal="center"/>
    </xf>
    <xf numFmtId="0" fontId="5" fillId="0" borderId="0" xfId="0" applyFont="1" applyAlignment="1">
      <alignment horizontal="center"/>
    </xf>
    <xf numFmtId="0" fontId="5" fillId="0" borderId="0" xfId="0" applyFont="1" applyAlignment="1">
      <alignment horizontal="left"/>
    </xf>
    <xf numFmtId="0" fontId="10" fillId="0" borderId="0" xfId="1" applyFont="1" applyFill="1" applyAlignment="1">
      <alignment vertical="center"/>
    </xf>
    <xf numFmtId="0" fontId="10" fillId="0" borderId="0" xfId="1" applyFont="1" applyFill="1" applyAlignment="1">
      <alignment horizontal="left" vertical="center"/>
    </xf>
    <xf numFmtId="0" fontId="13" fillId="0" borderId="0" xfId="1" applyFont="1" applyFill="1" applyAlignment="1">
      <alignment vertical="center"/>
    </xf>
    <xf numFmtId="0" fontId="6" fillId="0" borderId="0" xfId="0" applyFont="1" applyFill="1" applyAlignment="1">
      <alignment horizontal="center" vertical="center"/>
    </xf>
    <xf numFmtId="0" fontId="2" fillId="0" borderId="0" xfId="0" applyFont="1" applyFill="1" applyAlignment="1">
      <alignment horizontal="center" vertical="center"/>
    </xf>
    <xf numFmtId="20" fontId="2" fillId="0" borderId="0" xfId="0" applyNumberFormat="1" applyFont="1" applyFill="1" applyAlignment="1">
      <alignment horizontal="center" vertical="center"/>
    </xf>
    <xf numFmtId="14" fontId="2" fillId="0" borderId="0" xfId="0" applyNumberFormat="1" applyFont="1" applyFill="1" applyAlignment="1">
      <alignment horizontal="center" vertical="center"/>
    </xf>
    <xf numFmtId="0" fontId="0" fillId="0" borderId="0" xfId="0" applyFill="1"/>
    <xf numFmtId="0" fontId="6" fillId="0" borderId="0" xfId="0" applyFont="1" applyFill="1" applyAlignment="1">
      <alignment horizontal="right" vertical="center"/>
    </xf>
    <xf numFmtId="0" fontId="6" fillId="0" borderId="0" xfId="0" applyFont="1" applyFill="1" applyAlignment="1">
      <alignment horizontal="left" vertical="center"/>
    </xf>
    <xf numFmtId="0" fontId="7" fillId="0" borderId="0" xfId="0" applyFont="1" applyFill="1" applyAlignment="1">
      <alignment horizontal="left" vertical="center"/>
    </xf>
    <xf numFmtId="0" fontId="8" fillId="0" borderId="0" xfId="0" applyFont="1" applyFill="1" applyAlignment="1">
      <alignment horizontal="right" vertical="center"/>
    </xf>
    <xf numFmtId="0" fontId="2" fillId="0" borderId="0" xfId="0" applyFont="1" applyFill="1" applyAlignment="1">
      <alignment horizontal="center"/>
    </xf>
    <xf numFmtId="0" fontId="0" fillId="0" borderId="0" xfId="0" applyFill="1" applyAlignment="1">
      <alignment horizontal="left"/>
    </xf>
    <xf numFmtId="20" fontId="6" fillId="0" borderId="0" xfId="0" applyNumberFormat="1" applyFont="1" applyFill="1" applyAlignment="1">
      <alignment horizontal="center" vertical="center"/>
    </xf>
    <xf numFmtId="14" fontId="6" fillId="0" borderId="0" xfId="0" applyNumberFormat="1" applyFont="1" applyFill="1" applyAlignment="1">
      <alignment horizontal="center" vertical="center"/>
    </xf>
    <xf numFmtId="0" fontId="6" fillId="0" borderId="0" xfId="0" applyFont="1" applyFill="1" applyAlignment="1">
      <alignment vertical="center"/>
    </xf>
    <xf numFmtId="0" fontId="7" fillId="0" borderId="0" xfId="0" applyFont="1" applyFill="1" applyAlignment="1">
      <alignment horizontal="center" vertical="center"/>
    </xf>
    <xf numFmtId="164" fontId="2" fillId="0" borderId="0" xfId="0" applyNumberFormat="1" applyFont="1" applyFill="1" applyAlignment="1">
      <alignment horizontal="center" vertical="center"/>
    </xf>
    <xf numFmtId="0" fontId="2" fillId="0" borderId="0" xfId="0" applyFont="1" applyFill="1" applyAlignment="1">
      <alignment horizontal="left" vertical="center"/>
    </xf>
    <xf numFmtId="15" fontId="2" fillId="0" borderId="0" xfId="0" applyNumberFormat="1" applyFont="1" applyFill="1" applyAlignment="1">
      <alignment horizontal="center" vertical="center"/>
    </xf>
    <xf numFmtId="0" fontId="9" fillId="0" borderId="0" xfId="1" applyFill="1" applyAlignment="1">
      <alignment horizontal="left" vertical="center"/>
    </xf>
    <xf numFmtId="0" fontId="11" fillId="0" borderId="0" xfId="1" applyFont="1" applyFill="1" applyAlignment="1">
      <alignment horizontal="left" vertical="center"/>
    </xf>
    <xf numFmtId="14" fontId="12" fillId="0" borderId="0" xfId="0" applyNumberFormat="1" applyFont="1" applyFill="1" applyAlignment="1">
      <alignment horizontal="center" vertical="center"/>
    </xf>
    <xf numFmtId="0" fontId="8" fillId="0" borderId="0" xfId="0" applyFont="1" applyFill="1" applyAlignment="1">
      <alignment horizontal="center" vertical="center"/>
    </xf>
    <xf numFmtId="165" fontId="6" fillId="0" borderId="0" xfId="0" applyNumberFormat="1" applyFont="1" applyFill="1" applyAlignment="1">
      <alignment horizontal="center" vertical="center"/>
    </xf>
    <xf numFmtId="15" fontId="6" fillId="0" borderId="0" xfId="0" applyNumberFormat="1" applyFont="1" applyFill="1" applyAlignment="1">
      <alignment horizontal="center" vertical="center"/>
    </xf>
    <xf numFmtId="0" fontId="9" fillId="0" borderId="0" xfId="1" applyFill="1" applyAlignment="1">
      <alignment horizontal="center" vertical="center"/>
    </xf>
    <xf numFmtId="0" fontId="16" fillId="0" borderId="0" xfId="0" applyFont="1" applyFill="1" applyAlignment="1">
      <alignment horizontal="center" vertical="center"/>
    </xf>
    <xf numFmtId="0" fontId="6" fillId="0" borderId="0" xfId="0" applyFont="1" applyFill="1" applyAlignment="1">
      <alignment horizontal="center"/>
    </xf>
    <xf numFmtId="0" fontId="0" fillId="0" borderId="0" xfId="0" applyFill="1" applyAlignment="1">
      <alignment horizontal="center"/>
    </xf>
    <xf numFmtId="20" fontId="2" fillId="0" borderId="0" xfId="0" applyNumberFormat="1" applyFont="1" applyFill="1" applyAlignment="1">
      <alignment horizontal="center"/>
    </xf>
    <xf numFmtId="14" fontId="2" fillId="0" borderId="0" xfId="0" applyNumberFormat="1" applyFont="1" applyFill="1" applyAlignment="1">
      <alignment horizontal="center"/>
    </xf>
    <xf numFmtId="0" fontId="17"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Fill="1"/>
    <xf numFmtId="0" fontId="6" fillId="0" borderId="0" xfId="0" applyFont="1" applyFill="1" applyAlignment="1">
      <alignment horizontal="center" vertical="center" wrapText="1"/>
    </xf>
    <xf numFmtId="166" fontId="2" fillId="0" borderId="0" xfId="0" applyNumberFormat="1" applyFont="1" applyFill="1" applyAlignment="1">
      <alignment horizontal="center" vertical="center"/>
    </xf>
    <xf numFmtId="0" fontId="2" fillId="0" borderId="0" xfId="0" applyFont="1" applyFill="1" applyAlignment="1">
      <alignment horizontal="center" wrapText="1"/>
    </xf>
    <xf numFmtId="0" fontId="18" fillId="0" borderId="0" xfId="0" applyFont="1" applyFill="1" applyAlignment="1">
      <alignment horizontal="center"/>
    </xf>
    <xf numFmtId="0" fontId="17" fillId="0"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me/sameralhajali/6841" TargetMode="External"/><Relationship Id="rId3" Type="http://schemas.openxmlformats.org/officeDocument/2006/relationships/hyperlink" Target="https://t.me/mmirleb/16064" TargetMode="External"/><Relationship Id="rId7" Type="http://schemas.openxmlformats.org/officeDocument/2006/relationships/hyperlink" Target="https://t.me/sameralhajali/8236" TargetMode="External"/><Relationship Id="rId2" Type="http://schemas.openxmlformats.org/officeDocument/2006/relationships/hyperlink" Target="https://t.me/bilaalbader/144991" TargetMode="External"/><Relationship Id="rId1" Type="http://schemas.openxmlformats.org/officeDocument/2006/relationships/hyperlink" Target="https://nna-leb.gov.lb/ar/news/short/544404" TargetMode="External"/><Relationship Id="rId6" Type="http://schemas.openxmlformats.org/officeDocument/2006/relationships/hyperlink" Target="https://www.instagram.com/reel/DYgmomwmsou/?utm_source=ig_web_copy_link&amp;igsh=NTc4MTIwNjQ2YQ==" TargetMode="External"/><Relationship Id="rId5" Type="http://schemas.openxmlformats.org/officeDocument/2006/relationships/hyperlink" Target="https://t.me/bintjbeilnews/185497" TargetMode="External"/><Relationship Id="rId10" Type="http://schemas.openxmlformats.org/officeDocument/2006/relationships/hyperlink" Target="https://t.me/sameralhajali/8777" TargetMode="External"/><Relationship Id="rId4" Type="http://schemas.openxmlformats.org/officeDocument/2006/relationships/hyperlink" Target="https://t.me/Janoubana/8425" TargetMode="External"/><Relationship Id="rId9" Type="http://schemas.openxmlformats.org/officeDocument/2006/relationships/hyperlink" Target="https://t.me/alakhbar_news/838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44"/>
  <sheetViews>
    <sheetView tabSelected="1" topLeftCell="A18" workbookViewId="0">
      <selection activeCell="M1" sqref="M1:M1048576"/>
    </sheetView>
  </sheetViews>
  <sheetFormatPr defaultRowHeight="14.4" x14ac:dyDescent="0.3"/>
  <cols>
    <col min="1" max="10" width="8.88671875" style="29"/>
    <col min="11" max="12" width="22.6640625" style="29" customWidth="1"/>
    <col min="13" max="13" width="78.109375" style="29" customWidth="1"/>
    <col min="14" max="15" width="8.88671875" style="29"/>
    <col min="16" max="16" width="10.5546875" style="29" bestFit="1" customWidth="1"/>
    <col min="17" max="16384" width="8.88671875" style="29"/>
  </cols>
  <sheetData>
    <row r="1" spans="1:191" s="20" customFormat="1" ht="15.6" x14ac:dyDescent="0.3">
      <c r="A1" s="1"/>
      <c r="B1" s="2" t="s">
        <v>0</v>
      </c>
      <c r="C1" s="3" t="s">
        <v>1</v>
      </c>
      <c r="D1" s="3" t="s">
        <v>2</v>
      </c>
      <c r="E1" s="3" t="s">
        <v>3</v>
      </c>
      <c r="F1" s="3" t="s">
        <v>4</v>
      </c>
      <c r="G1" s="3" t="s">
        <v>5</v>
      </c>
      <c r="H1" s="3" t="s">
        <v>6</v>
      </c>
      <c r="I1" s="3" t="s">
        <v>7</v>
      </c>
      <c r="J1" s="2" t="s">
        <v>8</v>
      </c>
      <c r="K1" s="4" t="s">
        <v>9</v>
      </c>
      <c r="L1" s="4" t="s">
        <v>10</v>
      </c>
      <c r="M1" s="4" t="s">
        <v>11</v>
      </c>
      <c r="N1" s="4" t="s">
        <v>12</v>
      </c>
      <c r="O1" s="5" t="s">
        <v>13</v>
      </c>
      <c r="P1" s="6" t="s">
        <v>14</v>
      </c>
      <c r="Q1" s="7" t="s">
        <v>15</v>
      </c>
      <c r="R1" s="7" t="s">
        <v>16</v>
      </c>
      <c r="S1" s="8" t="s">
        <v>17</v>
      </c>
      <c r="T1" s="8" t="s">
        <v>18</v>
      </c>
      <c r="U1" s="8" t="s">
        <v>19</v>
      </c>
      <c r="V1" s="8" t="s">
        <v>20</v>
      </c>
      <c r="W1" s="8" t="s">
        <v>21</v>
      </c>
      <c r="X1" s="8" t="s">
        <v>22</v>
      </c>
      <c r="Y1" s="8" t="s">
        <v>23</v>
      </c>
      <c r="Z1" s="8" t="s">
        <v>24</v>
      </c>
      <c r="AA1" s="9" t="s">
        <v>25</v>
      </c>
      <c r="AB1" s="8" t="s">
        <v>26</v>
      </c>
      <c r="AC1" s="10" t="s">
        <v>27</v>
      </c>
      <c r="AD1" s="10" t="s">
        <v>28</v>
      </c>
      <c r="AE1" s="10" t="s">
        <v>29</v>
      </c>
      <c r="AF1" s="10" t="s">
        <v>30</v>
      </c>
      <c r="AG1" s="8" t="s">
        <v>31</v>
      </c>
      <c r="AH1" s="8" t="s">
        <v>32</v>
      </c>
      <c r="AI1" s="8" t="s">
        <v>33</v>
      </c>
      <c r="AJ1" s="8" t="s">
        <v>34</v>
      </c>
      <c r="AK1" s="8" t="s">
        <v>35</v>
      </c>
      <c r="AL1" s="8" t="s">
        <v>36</v>
      </c>
      <c r="AM1" s="8" t="s">
        <v>37</v>
      </c>
      <c r="AN1" s="11" t="s">
        <v>38</v>
      </c>
      <c r="AO1" s="11" t="s">
        <v>39</v>
      </c>
      <c r="AP1" s="10" t="s">
        <v>40</v>
      </c>
      <c r="AQ1" s="8" t="s">
        <v>41</v>
      </c>
      <c r="AR1" s="8" t="s">
        <v>42</v>
      </c>
      <c r="AS1" s="8" t="s">
        <v>43</v>
      </c>
      <c r="AT1" s="8" t="s">
        <v>44</v>
      </c>
      <c r="AU1" s="8" t="s">
        <v>45</v>
      </c>
      <c r="AV1" s="8" t="s">
        <v>46</v>
      </c>
      <c r="AW1" s="8" t="s">
        <v>47</v>
      </c>
      <c r="AX1" s="11" t="s">
        <v>48</v>
      </c>
      <c r="AY1" s="11" t="s">
        <v>49</v>
      </c>
      <c r="AZ1" s="10" t="s">
        <v>50</v>
      </c>
      <c r="BA1" s="8" t="s">
        <v>51</v>
      </c>
      <c r="BB1" s="8" t="s">
        <v>52</v>
      </c>
      <c r="BC1" s="8" t="s">
        <v>53</v>
      </c>
      <c r="BD1" s="8" t="s">
        <v>54</v>
      </c>
      <c r="BE1" s="8" t="s">
        <v>55</v>
      </c>
      <c r="BF1" s="8" t="s">
        <v>56</v>
      </c>
      <c r="BG1" s="8" t="s">
        <v>57</v>
      </c>
      <c r="BH1" s="11" t="s">
        <v>58</v>
      </c>
      <c r="BI1" s="11" t="s">
        <v>59</v>
      </c>
      <c r="BJ1" s="10" t="s">
        <v>60</v>
      </c>
      <c r="BK1" s="8" t="s">
        <v>61</v>
      </c>
      <c r="BL1" s="8" t="s">
        <v>62</v>
      </c>
      <c r="BM1" s="8" t="s">
        <v>63</v>
      </c>
      <c r="BN1" s="10" t="s">
        <v>64</v>
      </c>
      <c r="BO1" s="8" t="s">
        <v>65</v>
      </c>
      <c r="BP1" s="8" t="s">
        <v>66</v>
      </c>
      <c r="BQ1" s="10" t="s">
        <v>67</v>
      </c>
      <c r="BR1" s="8" t="s">
        <v>68</v>
      </c>
      <c r="BS1" s="8" t="s">
        <v>69</v>
      </c>
      <c r="BT1" s="10" t="s">
        <v>70</v>
      </c>
      <c r="BU1" s="8" t="s">
        <v>71</v>
      </c>
      <c r="BV1" s="8" t="s">
        <v>72</v>
      </c>
      <c r="BW1" s="10" t="s">
        <v>73</v>
      </c>
      <c r="BX1" s="8" t="s">
        <v>74</v>
      </c>
      <c r="BY1" s="8" t="s">
        <v>75</v>
      </c>
      <c r="BZ1" s="10" t="s">
        <v>76</v>
      </c>
      <c r="CA1" s="8" t="s">
        <v>77</v>
      </c>
      <c r="CB1" s="8" t="s">
        <v>78</v>
      </c>
      <c r="CC1" s="10" t="s">
        <v>79</v>
      </c>
      <c r="CD1" s="8" t="s">
        <v>80</v>
      </c>
      <c r="CE1" s="8" t="s">
        <v>81</v>
      </c>
      <c r="CF1" s="10" t="s">
        <v>82</v>
      </c>
      <c r="CG1" s="8" t="s">
        <v>83</v>
      </c>
      <c r="CH1" s="12" t="s">
        <v>84</v>
      </c>
      <c r="CI1" s="12" t="s">
        <v>85</v>
      </c>
      <c r="CJ1" s="12" t="s">
        <v>86</v>
      </c>
      <c r="CK1" s="12" t="s">
        <v>87</v>
      </c>
      <c r="CL1" s="8" t="s">
        <v>88</v>
      </c>
      <c r="CM1" s="8" t="s">
        <v>89</v>
      </c>
      <c r="CN1" s="8" t="s">
        <v>90</v>
      </c>
      <c r="CO1" s="8" t="s">
        <v>91</v>
      </c>
      <c r="CP1" s="13" t="s">
        <v>92</v>
      </c>
      <c r="CQ1" s="13" t="s">
        <v>93</v>
      </c>
      <c r="CR1" s="10" t="s">
        <v>94</v>
      </c>
      <c r="CS1" s="8" t="s">
        <v>95</v>
      </c>
      <c r="CT1" s="8" t="s">
        <v>96</v>
      </c>
      <c r="CU1" s="8" t="s">
        <v>86</v>
      </c>
      <c r="CV1" s="8" t="s">
        <v>97</v>
      </c>
      <c r="CW1" s="8" t="s">
        <v>98</v>
      </c>
      <c r="CX1" s="8" t="s">
        <v>99</v>
      </c>
      <c r="CY1" s="8" t="s">
        <v>100</v>
      </c>
      <c r="CZ1" s="11" t="s">
        <v>101</v>
      </c>
      <c r="DA1" s="11" t="s">
        <v>102</v>
      </c>
      <c r="DB1" s="10" t="s">
        <v>103</v>
      </c>
      <c r="DC1" s="8" t="s">
        <v>104</v>
      </c>
      <c r="DD1" s="8" t="s">
        <v>105</v>
      </c>
      <c r="DE1" s="8" t="s">
        <v>106</v>
      </c>
      <c r="DF1" s="8" t="s">
        <v>107</v>
      </c>
      <c r="DG1" s="8" t="s">
        <v>108</v>
      </c>
      <c r="DH1" s="10" t="s">
        <v>109</v>
      </c>
      <c r="DI1" s="8" t="s">
        <v>110</v>
      </c>
      <c r="DJ1" s="8" t="s">
        <v>111</v>
      </c>
      <c r="DK1" s="8" t="s">
        <v>112</v>
      </c>
      <c r="DL1" s="8" t="s">
        <v>113</v>
      </c>
      <c r="DM1" s="8" t="s">
        <v>114</v>
      </c>
      <c r="DN1" s="8" t="s">
        <v>115</v>
      </c>
      <c r="DO1" s="11" t="s">
        <v>116</v>
      </c>
      <c r="DP1" s="11" t="s">
        <v>117</v>
      </c>
      <c r="DQ1" s="10" t="s">
        <v>118</v>
      </c>
      <c r="DR1" s="8" t="s">
        <v>119</v>
      </c>
      <c r="DS1" s="14" t="s">
        <v>120</v>
      </c>
      <c r="DT1" s="14" t="s">
        <v>121</v>
      </c>
      <c r="DU1" s="8" t="s">
        <v>122</v>
      </c>
      <c r="DV1" s="8" t="s">
        <v>123</v>
      </c>
      <c r="DW1" s="8" t="s">
        <v>124</v>
      </c>
      <c r="DX1" s="8" t="s">
        <v>125</v>
      </c>
      <c r="DY1" s="15" t="s">
        <v>126</v>
      </c>
      <c r="DZ1" s="15" t="s">
        <v>127</v>
      </c>
      <c r="EA1" s="10" t="s">
        <v>128</v>
      </c>
      <c r="EB1" s="10" t="s">
        <v>129</v>
      </c>
      <c r="EC1" s="10" t="s">
        <v>130</v>
      </c>
      <c r="ED1" s="16" t="s">
        <v>131</v>
      </c>
      <c r="EE1" s="10" t="s">
        <v>132</v>
      </c>
      <c r="EF1" s="10" t="s">
        <v>130</v>
      </c>
      <c r="EG1" s="16" t="s">
        <v>133</v>
      </c>
      <c r="EH1" s="17" t="s">
        <v>134</v>
      </c>
      <c r="EI1" s="11" t="s">
        <v>135</v>
      </c>
      <c r="EJ1" s="11" t="s">
        <v>136</v>
      </c>
      <c r="EK1" s="8" t="s">
        <v>137</v>
      </c>
      <c r="EL1" s="8" t="s">
        <v>138</v>
      </c>
      <c r="EM1" s="8" t="s">
        <v>139</v>
      </c>
      <c r="EN1" s="8" t="s">
        <v>140</v>
      </c>
      <c r="EO1" s="8" t="s">
        <v>141</v>
      </c>
      <c r="EP1" s="8" t="s">
        <v>142</v>
      </c>
      <c r="EQ1" s="10" t="s">
        <v>143</v>
      </c>
      <c r="ER1" s="8" t="s">
        <v>144</v>
      </c>
      <c r="ES1" s="8" t="s">
        <v>145</v>
      </c>
      <c r="ET1" s="8" t="s">
        <v>146</v>
      </c>
      <c r="EU1" s="10" t="s">
        <v>147</v>
      </c>
      <c r="EV1" s="8" t="s">
        <v>148</v>
      </c>
      <c r="EW1" s="8" t="s">
        <v>149</v>
      </c>
      <c r="EX1" s="8" t="s">
        <v>150</v>
      </c>
      <c r="EY1" s="8" t="s">
        <v>151</v>
      </c>
      <c r="EZ1" s="8" t="s">
        <v>152</v>
      </c>
      <c r="FA1" s="8" t="s">
        <v>153</v>
      </c>
      <c r="FB1" s="11" t="s">
        <v>154</v>
      </c>
      <c r="FC1" s="10" t="s">
        <v>155</v>
      </c>
      <c r="FD1" s="10" t="s">
        <v>156</v>
      </c>
      <c r="FE1" s="10" t="s">
        <v>157</v>
      </c>
      <c r="FF1" s="10" t="s">
        <v>158</v>
      </c>
      <c r="FG1" s="10" t="s">
        <v>159</v>
      </c>
      <c r="FH1" s="10" t="s">
        <v>160</v>
      </c>
      <c r="FI1" s="8" t="s">
        <v>161</v>
      </c>
      <c r="FJ1" s="8" t="s">
        <v>162</v>
      </c>
      <c r="FK1" s="10" t="s">
        <v>163</v>
      </c>
      <c r="FL1" s="8" t="s">
        <v>164</v>
      </c>
      <c r="FM1" s="14" t="s">
        <v>165</v>
      </c>
      <c r="FN1" s="10" t="s">
        <v>166</v>
      </c>
      <c r="FO1" s="10" t="s">
        <v>167</v>
      </c>
      <c r="FP1" s="14" t="s">
        <v>168</v>
      </c>
      <c r="FQ1" s="10" t="s">
        <v>169</v>
      </c>
      <c r="FR1" s="8" t="s">
        <v>170</v>
      </c>
      <c r="FS1" s="14" t="s">
        <v>171</v>
      </c>
      <c r="FT1" s="8" t="s">
        <v>172</v>
      </c>
      <c r="FU1" s="8" t="s">
        <v>173</v>
      </c>
      <c r="FV1" s="18" t="s">
        <v>174</v>
      </c>
      <c r="FW1" s="18" t="s">
        <v>175</v>
      </c>
      <c r="FX1" s="18" t="s">
        <v>176</v>
      </c>
      <c r="FY1" s="18" t="s">
        <v>177</v>
      </c>
      <c r="FZ1" s="18" t="s">
        <v>178</v>
      </c>
      <c r="GA1" s="3" t="s">
        <v>179</v>
      </c>
      <c r="GB1" s="19" t="s">
        <v>180</v>
      </c>
      <c r="GC1" s="19" t="s">
        <v>181</v>
      </c>
      <c r="GD1" s="19" t="s">
        <v>182</v>
      </c>
      <c r="GE1" s="20" t="s">
        <v>182</v>
      </c>
      <c r="GF1" s="21" t="s">
        <v>183</v>
      </c>
      <c r="GG1" s="21" t="s">
        <v>18</v>
      </c>
      <c r="GH1" s="20" t="s">
        <v>184</v>
      </c>
      <c r="GI1" s="20" t="s">
        <v>184</v>
      </c>
    </row>
    <row r="2" spans="1:191" ht="15.6" x14ac:dyDescent="0.3">
      <c r="A2" s="25" t="s">
        <v>185</v>
      </c>
      <c r="B2" s="26">
        <v>72211</v>
      </c>
      <c r="C2" s="25"/>
      <c r="D2" s="25"/>
      <c r="E2" s="25"/>
      <c r="F2" s="25"/>
      <c r="G2" s="25"/>
      <c r="H2" s="25"/>
      <c r="I2" s="25"/>
      <c r="J2" s="25">
        <v>1</v>
      </c>
      <c r="K2" s="25" t="s">
        <v>186</v>
      </c>
      <c r="L2" s="25" t="s">
        <v>187</v>
      </c>
      <c r="M2" s="25" t="s">
        <v>188</v>
      </c>
      <c r="N2" s="26" t="s">
        <v>189</v>
      </c>
      <c r="O2" s="27">
        <v>0.53125</v>
      </c>
      <c r="P2" s="28">
        <v>46140</v>
      </c>
      <c r="Q2" s="29">
        <f t="shared" ref="Q2:R17" si="0">SUM(S2,AN2,AX2,BH2,CP2,DF2,CZ2,DO2,DY2,EI2,ES2,EV2,FT2)</f>
        <v>1</v>
      </c>
      <c r="R2" s="29">
        <f t="shared" si="0"/>
        <v>0</v>
      </c>
      <c r="S2" s="29">
        <v>1</v>
      </c>
      <c r="T2" s="29">
        <v>0</v>
      </c>
      <c r="U2" s="29">
        <v>0</v>
      </c>
      <c r="V2" s="29">
        <v>0</v>
      </c>
      <c r="W2" s="29">
        <v>0</v>
      </c>
      <c r="X2" s="29">
        <v>0</v>
      </c>
      <c r="Y2" s="29">
        <v>0</v>
      </c>
      <c r="Z2" s="29">
        <v>0</v>
      </c>
      <c r="AA2" s="29">
        <v>0</v>
      </c>
      <c r="AB2" s="29">
        <v>0</v>
      </c>
      <c r="AC2" s="29">
        <v>0</v>
      </c>
      <c r="AD2" s="29">
        <v>0</v>
      </c>
      <c r="AF2" s="29">
        <v>0</v>
      </c>
      <c r="AH2" s="29">
        <v>0</v>
      </c>
      <c r="AI2" s="29">
        <v>0</v>
      </c>
      <c r="AJ2" s="29">
        <v>0</v>
      </c>
      <c r="AK2" s="29">
        <v>0</v>
      </c>
      <c r="AL2" s="29">
        <v>0</v>
      </c>
      <c r="AM2" s="29">
        <v>0</v>
      </c>
      <c r="AN2" s="29">
        <f t="shared" ref="AN2:AO17" si="1">SUM(AJ2,AL2)</f>
        <v>0</v>
      </c>
      <c r="AO2" s="29">
        <f t="shared" si="1"/>
        <v>0</v>
      </c>
      <c r="AP2" s="29">
        <v>0</v>
      </c>
      <c r="AR2" s="29">
        <v>0</v>
      </c>
      <c r="AS2" s="29">
        <v>0</v>
      </c>
      <c r="AT2" s="29">
        <v>0</v>
      </c>
      <c r="AU2" s="29">
        <v>0</v>
      </c>
      <c r="AV2" s="29">
        <v>0</v>
      </c>
      <c r="AW2" s="29">
        <v>0</v>
      </c>
      <c r="AX2" s="29">
        <f t="shared" ref="AX2:AY17" si="2">SUM(AV2,AT2)</f>
        <v>0</v>
      </c>
      <c r="AY2" s="29">
        <f t="shared" si="2"/>
        <v>0</v>
      </c>
      <c r="AZ2" s="29">
        <v>0</v>
      </c>
      <c r="BD2" s="29">
        <v>0</v>
      </c>
      <c r="BE2" s="29">
        <v>0</v>
      </c>
      <c r="BF2" s="29">
        <v>0</v>
      </c>
      <c r="BG2" s="29">
        <v>0</v>
      </c>
      <c r="BH2" s="29">
        <f t="shared" ref="BH2:BI17" si="3">SUM(BD2,BF2)</f>
        <v>0</v>
      </c>
      <c r="BI2" s="29">
        <f t="shared" si="3"/>
        <v>0</v>
      </c>
      <c r="BJ2" s="29">
        <v>0</v>
      </c>
      <c r="BN2" s="29">
        <v>0</v>
      </c>
      <c r="BQ2" s="29">
        <v>0</v>
      </c>
      <c r="BT2" s="29">
        <v>0</v>
      </c>
      <c r="BW2" s="29">
        <v>0</v>
      </c>
      <c r="BZ2" s="29">
        <v>0</v>
      </c>
      <c r="CC2" s="29">
        <v>0</v>
      </c>
      <c r="CF2" s="29">
        <v>1</v>
      </c>
      <c r="CG2" s="29" t="s">
        <v>190</v>
      </c>
      <c r="CH2" s="29" t="s">
        <v>191</v>
      </c>
      <c r="CI2" s="29" t="s">
        <v>192</v>
      </c>
      <c r="CL2" s="29">
        <v>0</v>
      </c>
      <c r="CM2" s="29">
        <v>0</v>
      </c>
      <c r="CN2" s="29">
        <v>0</v>
      </c>
      <c r="CO2" s="29">
        <v>0</v>
      </c>
      <c r="CP2" s="29">
        <f t="shared" ref="CP2:CQ17" si="4">SUM(CL2,CN2)</f>
        <v>0</v>
      </c>
      <c r="CQ2" s="29">
        <f t="shared" si="4"/>
        <v>0</v>
      </c>
      <c r="CR2" s="29">
        <v>0</v>
      </c>
      <c r="CV2" s="29">
        <v>0</v>
      </c>
      <c r="CW2" s="29">
        <v>0</v>
      </c>
      <c r="CX2" s="29">
        <v>0</v>
      </c>
      <c r="CY2" s="29">
        <v>0</v>
      </c>
      <c r="CZ2" s="29">
        <f t="shared" ref="CZ2:DA17" si="5">SUM(CV2,CX2)</f>
        <v>0</v>
      </c>
      <c r="DA2" s="29">
        <f t="shared" si="5"/>
        <v>0</v>
      </c>
      <c r="DB2" s="29">
        <v>0</v>
      </c>
      <c r="DC2" s="29">
        <v>0</v>
      </c>
      <c r="DF2" s="29">
        <v>0</v>
      </c>
      <c r="DG2" s="29">
        <v>0</v>
      </c>
      <c r="DH2" s="29">
        <v>0</v>
      </c>
      <c r="DK2" s="29">
        <v>0</v>
      </c>
      <c r="DL2" s="29">
        <v>0</v>
      </c>
      <c r="DM2" s="29">
        <v>0</v>
      </c>
      <c r="DN2" s="29">
        <v>0</v>
      </c>
      <c r="DO2" s="29">
        <f t="shared" ref="DO2:DP17" si="6">SUM(DK2,DM2)</f>
        <v>0</v>
      </c>
      <c r="DP2" s="29">
        <f t="shared" si="6"/>
        <v>0</v>
      </c>
      <c r="DQ2" s="29">
        <v>1</v>
      </c>
      <c r="DR2" s="29">
        <v>1</v>
      </c>
      <c r="DS2" s="29" t="s">
        <v>193</v>
      </c>
      <c r="DT2" s="29" t="s">
        <v>190</v>
      </c>
      <c r="DU2" s="29">
        <v>0</v>
      </c>
      <c r="DV2" s="29">
        <v>0</v>
      </c>
      <c r="DW2" s="29">
        <v>0</v>
      </c>
      <c r="DX2" s="29">
        <v>0</v>
      </c>
      <c r="DY2" s="29">
        <f t="shared" ref="DY2:DZ17" si="7">SUM(DU2,DW2)</f>
        <v>0</v>
      </c>
      <c r="DZ2" s="29">
        <f t="shared" si="7"/>
        <v>0</v>
      </c>
      <c r="EA2" s="29">
        <v>0</v>
      </c>
      <c r="EC2" s="29">
        <v>0</v>
      </c>
      <c r="EE2" s="29">
        <v>0</v>
      </c>
      <c r="EF2" s="29">
        <v>0</v>
      </c>
      <c r="EH2" s="29">
        <v>0</v>
      </c>
      <c r="EI2" s="29">
        <f t="shared" ref="EI2:EJ17" si="8">SUM(EK2,EM2,EO2)</f>
        <v>0</v>
      </c>
      <c r="EJ2" s="29">
        <f t="shared" si="8"/>
        <v>0</v>
      </c>
      <c r="EK2" s="29">
        <v>0</v>
      </c>
      <c r="EL2" s="29">
        <v>0</v>
      </c>
      <c r="EM2" s="29">
        <v>0</v>
      </c>
      <c r="EN2" s="29">
        <v>0</v>
      </c>
      <c r="EO2" s="29">
        <v>0</v>
      </c>
      <c r="EP2" s="29">
        <v>0</v>
      </c>
      <c r="EQ2" s="29">
        <v>0</v>
      </c>
      <c r="ES2" s="29">
        <v>0</v>
      </c>
      <c r="ET2" s="29">
        <v>0</v>
      </c>
      <c r="EU2" s="29">
        <v>0</v>
      </c>
      <c r="EV2" s="29">
        <v>0</v>
      </c>
      <c r="EW2" s="29">
        <v>0</v>
      </c>
      <c r="EX2" s="29">
        <v>0</v>
      </c>
      <c r="EY2" s="29">
        <v>0</v>
      </c>
      <c r="EZ2" s="29">
        <v>0</v>
      </c>
      <c r="FA2" s="29">
        <v>0</v>
      </c>
      <c r="FB2" s="29">
        <f t="shared" ref="FB2:FB19" si="9">SUM(EX2:FA2)</f>
        <v>0</v>
      </c>
      <c r="FC2" s="29">
        <v>0</v>
      </c>
      <c r="FD2" s="29">
        <v>0</v>
      </c>
      <c r="FE2" s="29">
        <v>0</v>
      </c>
      <c r="FF2" s="29">
        <v>0</v>
      </c>
      <c r="FG2" s="29">
        <v>0</v>
      </c>
      <c r="FH2" s="29">
        <v>0</v>
      </c>
      <c r="FK2" s="29">
        <v>0</v>
      </c>
      <c r="FN2" s="29">
        <v>0</v>
      </c>
      <c r="FO2" s="29">
        <v>0</v>
      </c>
      <c r="FQ2" s="29">
        <v>0</v>
      </c>
      <c r="FT2" s="29">
        <v>0</v>
      </c>
      <c r="FU2" s="29">
        <v>0</v>
      </c>
      <c r="FV2" s="29">
        <v>0</v>
      </c>
      <c r="FW2" s="29">
        <v>0</v>
      </c>
      <c r="FX2" s="29">
        <v>0</v>
      </c>
      <c r="FY2" s="29">
        <v>1</v>
      </c>
      <c r="FZ2" s="29">
        <v>0</v>
      </c>
      <c r="GA2" s="25" t="s">
        <v>194</v>
      </c>
      <c r="GB2" s="30" t="s">
        <v>195</v>
      </c>
      <c r="GC2" s="25" t="s">
        <v>196</v>
      </c>
      <c r="GD2" s="31" t="s">
        <v>197</v>
      </c>
      <c r="GE2" s="31"/>
      <c r="GF2" s="32" t="s">
        <v>198</v>
      </c>
      <c r="GG2" s="32"/>
      <c r="GH2" s="25"/>
    </row>
    <row r="3" spans="1:191" ht="15.6" x14ac:dyDescent="0.3">
      <c r="A3" s="25" t="s">
        <v>199</v>
      </c>
      <c r="B3" s="26">
        <v>72111</v>
      </c>
      <c r="C3" s="25"/>
      <c r="D3" s="25"/>
      <c r="E3" s="25"/>
      <c r="F3" s="25"/>
      <c r="G3" s="25"/>
      <c r="H3" s="25"/>
      <c r="I3" s="25"/>
      <c r="J3" s="25">
        <v>1</v>
      </c>
      <c r="K3" s="25" t="s">
        <v>200</v>
      </c>
      <c r="L3" s="25" t="s">
        <v>201</v>
      </c>
      <c r="M3" s="25" t="s">
        <v>202</v>
      </c>
      <c r="N3" s="26" t="s">
        <v>203</v>
      </c>
      <c r="O3" s="27">
        <v>0.31388888888888888</v>
      </c>
      <c r="P3" s="28">
        <v>46142</v>
      </c>
      <c r="Q3" s="29">
        <f t="shared" si="0"/>
        <v>0</v>
      </c>
      <c r="R3" s="29">
        <f t="shared" si="0"/>
        <v>0</v>
      </c>
      <c r="S3" s="29">
        <v>0</v>
      </c>
      <c r="T3" s="29">
        <v>0</v>
      </c>
      <c r="U3" s="29">
        <v>0</v>
      </c>
      <c r="V3" s="29">
        <v>0</v>
      </c>
      <c r="W3" s="29">
        <v>0</v>
      </c>
      <c r="X3" s="29">
        <v>0</v>
      </c>
      <c r="Y3" s="29">
        <v>0</v>
      </c>
      <c r="Z3" s="29">
        <v>0</v>
      </c>
      <c r="AA3" s="29">
        <v>0</v>
      </c>
      <c r="AB3" s="29">
        <v>0</v>
      </c>
      <c r="AC3" s="29">
        <v>0</v>
      </c>
      <c r="AD3" s="29">
        <v>0</v>
      </c>
      <c r="AF3" s="29">
        <v>0</v>
      </c>
      <c r="AH3" s="29">
        <v>0</v>
      </c>
      <c r="AI3" s="29">
        <v>0</v>
      </c>
      <c r="AJ3" s="29">
        <v>0</v>
      </c>
      <c r="AK3" s="29">
        <v>0</v>
      </c>
      <c r="AL3" s="29">
        <v>0</v>
      </c>
      <c r="AM3" s="29">
        <v>0</v>
      </c>
      <c r="AN3" s="29">
        <f t="shared" si="1"/>
        <v>0</v>
      </c>
      <c r="AO3" s="29">
        <f t="shared" si="1"/>
        <v>0</v>
      </c>
      <c r="AP3" s="29">
        <v>0</v>
      </c>
      <c r="AR3" s="29">
        <v>0</v>
      </c>
      <c r="AS3" s="29">
        <v>0</v>
      </c>
      <c r="AT3" s="29">
        <v>0</v>
      </c>
      <c r="AU3" s="29">
        <v>0</v>
      </c>
      <c r="AV3" s="29">
        <v>0</v>
      </c>
      <c r="AW3" s="29">
        <v>0</v>
      </c>
      <c r="AX3" s="29">
        <f t="shared" si="2"/>
        <v>0</v>
      </c>
      <c r="AY3" s="29">
        <f t="shared" si="2"/>
        <v>0</v>
      </c>
      <c r="AZ3" s="29">
        <v>0</v>
      </c>
      <c r="BD3" s="29">
        <v>0</v>
      </c>
      <c r="BE3" s="29">
        <v>0</v>
      </c>
      <c r="BF3" s="29">
        <v>0</v>
      </c>
      <c r="BG3" s="29">
        <v>0</v>
      </c>
      <c r="BH3" s="29">
        <f t="shared" si="3"/>
        <v>0</v>
      </c>
      <c r="BI3" s="29">
        <f t="shared" si="3"/>
        <v>0</v>
      </c>
      <c r="BJ3" s="29">
        <v>0</v>
      </c>
      <c r="BN3" s="29">
        <v>0</v>
      </c>
      <c r="BQ3" s="29">
        <v>0</v>
      </c>
      <c r="BT3" s="29">
        <v>0</v>
      </c>
      <c r="BW3" s="29">
        <v>0</v>
      </c>
      <c r="BZ3" s="29">
        <v>0</v>
      </c>
      <c r="CC3" s="29">
        <v>0</v>
      </c>
      <c r="CF3" s="29">
        <v>0</v>
      </c>
      <c r="CL3" s="29">
        <v>0</v>
      </c>
      <c r="CM3" s="29">
        <v>0</v>
      </c>
      <c r="CN3" s="29">
        <v>0</v>
      </c>
      <c r="CO3" s="29">
        <v>0</v>
      </c>
      <c r="CP3" s="29">
        <f t="shared" si="4"/>
        <v>0</v>
      </c>
      <c r="CQ3" s="29">
        <f t="shared" si="4"/>
        <v>0</v>
      </c>
      <c r="CR3" s="29">
        <v>1</v>
      </c>
      <c r="CS3" s="29" t="s">
        <v>204</v>
      </c>
      <c r="CT3" s="29" t="s">
        <v>205</v>
      </c>
      <c r="CU3" s="29" t="s">
        <v>206</v>
      </c>
      <c r="CV3" s="29">
        <v>0</v>
      </c>
      <c r="CW3" s="29">
        <v>0</v>
      </c>
      <c r="CX3" s="29">
        <v>0</v>
      </c>
      <c r="CY3" s="29">
        <v>0</v>
      </c>
      <c r="CZ3" s="29">
        <f t="shared" si="5"/>
        <v>0</v>
      </c>
      <c r="DA3" s="29">
        <f t="shared" si="5"/>
        <v>0</v>
      </c>
      <c r="DB3" s="29">
        <v>0</v>
      </c>
      <c r="DC3" s="29">
        <v>0</v>
      </c>
      <c r="DF3" s="29">
        <v>0</v>
      </c>
      <c r="DG3" s="29">
        <v>0</v>
      </c>
      <c r="DH3" s="29">
        <v>0</v>
      </c>
      <c r="DK3" s="29">
        <v>0</v>
      </c>
      <c r="DL3" s="29">
        <v>0</v>
      </c>
      <c r="DM3" s="29">
        <v>0</v>
      </c>
      <c r="DN3" s="29">
        <v>0</v>
      </c>
      <c r="DO3" s="29">
        <f t="shared" si="6"/>
        <v>0</v>
      </c>
      <c r="DP3" s="29">
        <f t="shared" si="6"/>
        <v>0</v>
      </c>
      <c r="DQ3" s="29">
        <v>0</v>
      </c>
      <c r="DR3" s="29">
        <v>0</v>
      </c>
      <c r="DU3" s="29">
        <v>0</v>
      </c>
      <c r="DV3" s="29">
        <v>0</v>
      </c>
      <c r="DW3" s="29">
        <v>0</v>
      </c>
      <c r="DX3" s="29">
        <v>0</v>
      </c>
      <c r="DY3" s="29">
        <f t="shared" si="7"/>
        <v>0</v>
      </c>
      <c r="DZ3" s="29">
        <f t="shared" si="7"/>
        <v>0</v>
      </c>
      <c r="EA3" s="29">
        <v>0</v>
      </c>
      <c r="EC3" s="29">
        <v>0</v>
      </c>
      <c r="EE3" s="29">
        <v>0</v>
      </c>
      <c r="EF3" s="29">
        <v>0</v>
      </c>
      <c r="EH3" s="29">
        <v>0</v>
      </c>
      <c r="EI3" s="29">
        <f t="shared" si="8"/>
        <v>0</v>
      </c>
      <c r="EJ3" s="29">
        <f t="shared" si="8"/>
        <v>0</v>
      </c>
      <c r="EK3" s="29">
        <v>0</v>
      </c>
      <c r="EL3" s="29">
        <v>0</v>
      </c>
      <c r="EM3" s="29">
        <v>0</v>
      </c>
      <c r="EN3" s="29">
        <v>0</v>
      </c>
      <c r="EO3" s="29">
        <v>0</v>
      </c>
      <c r="EP3" s="29">
        <v>0</v>
      </c>
      <c r="EQ3" s="29">
        <v>0</v>
      </c>
      <c r="ES3" s="29">
        <v>0</v>
      </c>
      <c r="ET3" s="29">
        <v>0</v>
      </c>
      <c r="EU3" s="29">
        <v>0</v>
      </c>
      <c r="EV3" s="29">
        <v>0</v>
      </c>
      <c r="EW3" s="29">
        <v>0</v>
      </c>
      <c r="EX3" s="29">
        <v>0</v>
      </c>
      <c r="EY3" s="29">
        <v>0</v>
      </c>
      <c r="EZ3" s="29">
        <v>0</v>
      </c>
      <c r="FA3" s="29">
        <v>0</v>
      </c>
      <c r="FB3" s="29">
        <f t="shared" si="9"/>
        <v>0</v>
      </c>
      <c r="FC3" s="29">
        <v>0</v>
      </c>
      <c r="FD3" s="29">
        <v>0</v>
      </c>
      <c r="FE3" s="29">
        <v>0</v>
      </c>
      <c r="FF3" s="29">
        <v>0</v>
      </c>
      <c r="FG3" s="29">
        <v>0</v>
      </c>
      <c r="FH3" s="29">
        <v>0</v>
      </c>
      <c r="FK3" s="29">
        <v>0</v>
      </c>
      <c r="FN3" s="29">
        <v>0</v>
      </c>
      <c r="FO3" s="29">
        <v>0</v>
      </c>
      <c r="FQ3" s="29">
        <v>1</v>
      </c>
      <c r="FR3" s="29" t="s">
        <v>205</v>
      </c>
      <c r="FS3" s="29" t="s">
        <v>207</v>
      </c>
      <c r="FT3" s="29">
        <v>0</v>
      </c>
      <c r="FU3" s="29">
        <v>0</v>
      </c>
      <c r="FV3" s="29">
        <v>0</v>
      </c>
      <c r="FW3" s="29">
        <v>0</v>
      </c>
      <c r="FX3" s="29">
        <v>0</v>
      </c>
      <c r="FY3" s="29">
        <v>1</v>
      </c>
      <c r="FZ3" s="29">
        <v>0</v>
      </c>
      <c r="GA3" s="33" t="s">
        <v>208</v>
      </c>
      <c r="GB3" s="30" t="s">
        <v>209</v>
      </c>
      <c r="GC3" s="25" t="s">
        <v>210</v>
      </c>
      <c r="GD3" s="31" t="s">
        <v>211</v>
      </c>
      <c r="GE3" s="31"/>
      <c r="GF3" s="32"/>
      <c r="GG3" s="32"/>
    </row>
    <row r="4" spans="1:191" ht="15.6" x14ac:dyDescent="0.3">
      <c r="A4" s="34" t="s">
        <v>217</v>
      </c>
      <c r="B4" s="34">
        <v>71367</v>
      </c>
      <c r="C4" s="25"/>
      <c r="D4" s="25"/>
      <c r="E4" s="25"/>
      <c r="F4" s="25"/>
      <c r="G4" s="25"/>
      <c r="H4" s="25"/>
      <c r="I4" s="25"/>
      <c r="J4" s="25">
        <v>2</v>
      </c>
      <c r="K4" s="25" t="s">
        <v>186</v>
      </c>
      <c r="L4" s="25" t="s">
        <v>187</v>
      </c>
      <c r="M4" s="25" t="s">
        <v>220</v>
      </c>
      <c r="N4" s="26" t="s">
        <v>203</v>
      </c>
      <c r="O4" s="27">
        <v>0.99652777777777779</v>
      </c>
      <c r="P4" s="28">
        <v>46143</v>
      </c>
      <c r="Q4" s="29">
        <f t="shared" si="0"/>
        <v>0</v>
      </c>
      <c r="R4" s="29">
        <f t="shared" si="0"/>
        <v>0</v>
      </c>
      <c r="S4" s="29">
        <v>0</v>
      </c>
      <c r="T4" s="29">
        <v>0</v>
      </c>
      <c r="U4" s="29">
        <v>0</v>
      </c>
      <c r="V4" s="29">
        <v>0</v>
      </c>
      <c r="W4" s="29">
        <v>0</v>
      </c>
      <c r="X4" s="29">
        <v>0</v>
      </c>
      <c r="Y4" s="29">
        <v>0</v>
      </c>
      <c r="Z4" s="29">
        <v>0</v>
      </c>
      <c r="AA4" s="29">
        <v>0</v>
      </c>
      <c r="AB4" s="29">
        <v>0</v>
      </c>
      <c r="AC4" s="29">
        <v>0</v>
      </c>
      <c r="AD4" s="29">
        <v>0</v>
      </c>
      <c r="AF4" s="29">
        <v>0</v>
      </c>
      <c r="AH4" s="29">
        <v>0</v>
      </c>
      <c r="AI4" s="29">
        <v>0</v>
      </c>
      <c r="AJ4" s="29">
        <v>0</v>
      </c>
      <c r="AK4" s="29">
        <v>0</v>
      </c>
      <c r="AL4" s="29">
        <v>0</v>
      </c>
      <c r="AM4" s="29">
        <v>0</v>
      </c>
      <c r="AN4" s="29">
        <f t="shared" si="1"/>
        <v>0</v>
      </c>
      <c r="AO4" s="29">
        <f t="shared" si="1"/>
        <v>0</v>
      </c>
      <c r="AP4" s="29">
        <v>0</v>
      </c>
      <c r="AR4" s="29">
        <v>0</v>
      </c>
      <c r="AS4" s="29">
        <v>0</v>
      </c>
      <c r="AT4" s="29">
        <v>0</v>
      </c>
      <c r="AU4" s="29">
        <v>0</v>
      </c>
      <c r="AV4" s="29">
        <v>0</v>
      </c>
      <c r="AW4" s="29">
        <v>0</v>
      </c>
      <c r="AX4" s="29">
        <f t="shared" si="2"/>
        <v>0</v>
      </c>
      <c r="AY4" s="29">
        <f t="shared" si="2"/>
        <v>0</v>
      </c>
      <c r="AZ4" s="29">
        <v>0</v>
      </c>
      <c r="BD4" s="29">
        <v>0</v>
      </c>
      <c r="BE4" s="29">
        <v>0</v>
      </c>
      <c r="BF4" s="29">
        <v>0</v>
      </c>
      <c r="BG4" s="29">
        <v>0</v>
      </c>
      <c r="BH4" s="29">
        <f t="shared" si="3"/>
        <v>0</v>
      </c>
      <c r="BI4" s="29">
        <f t="shared" si="3"/>
        <v>0</v>
      </c>
      <c r="BJ4" s="29">
        <v>0</v>
      </c>
      <c r="BN4" s="29">
        <v>0</v>
      </c>
      <c r="BQ4" s="29">
        <v>0</v>
      </c>
      <c r="BT4" s="29">
        <v>0</v>
      </c>
      <c r="BW4" s="29">
        <v>0</v>
      </c>
      <c r="BZ4" s="29">
        <v>0</v>
      </c>
      <c r="CC4" s="29">
        <v>0</v>
      </c>
      <c r="CF4" s="29">
        <v>0</v>
      </c>
      <c r="CL4" s="29">
        <v>0</v>
      </c>
      <c r="CM4" s="29">
        <v>0</v>
      </c>
      <c r="CN4" s="29">
        <v>0</v>
      </c>
      <c r="CO4" s="29">
        <v>0</v>
      </c>
      <c r="CP4" s="29">
        <f t="shared" si="4"/>
        <v>0</v>
      </c>
      <c r="CQ4" s="29">
        <f t="shared" si="4"/>
        <v>0</v>
      </c>
      <c r="CR4" s="29">
        <v>0</v>
      </c>
      <c r="CV4" s="29">
        <v>0</v>
      </c>
      <c r="CW4" s="29">
        <v>0</v>
      </c>
      <c r="CX4" s="29">
        <v>0</v>
      </c>
      <c r="CY4" s="29">
        <v>0</v>
      </c>
      <c r="CZ4" s="29">
        <f t="shared" si="5"/>
        <v>0</v>
      </c>
      <c r="DA4" s="29">
        <f t="shared" si="5"/>
        <v>0</v>
      </c>
      <c r="DB4" s="29">
        <v>0</v>
      </c>
      <c r="DC4" s="29">
        <v>0</v>
      </c>
      <c r="DF4" s="29">
        <v>0</v>
      </c>
      <c r="DG4" s="29">
        <v>0</v>
      </c>
      <c r="DH4" s="29">
        <v>0</v>
      </c>
      <c r="DK4" s="29">
        <v>0</v>
      </c>
      <c r="DL4" s="29">
        <v>0</v>
      </c>
      <c r="DM4" s="29">
        <v>0</v>
      </c>
      <c r="DN4" s="29">
        <v>0</v>
      </c>
      <c r="DO4" s="29">
        <f t="shared" si="6"/>
        <v>0</v>
      </c>
      <c r="DP4" s="29">
        <f t="shared" si="6"/>
        <v>0</v>
      </c>
      <c r="DQ4" s="29">
        <v>0</v>
      </c>
      <c r="DR4" s="29">
        <v>0</v>
      </c>
      <c r="DU4" s="29">
        <v>0</v>
      </c>
      <c r="DV4" s="29">
        <v>0</v>
      </c>
      <c r="DW4" s="29">
        <v>0</v>
      </c>
      <c r="DX4" s="29">
        <v>0</v>
      </c>
      <c r="DY4" s="29">
        <f t="shared" si="7"/>
        <v>0</v>
      </c>
      <c r="DZ4" s="29">
        <f t="shared" si="7"/>
        <v>0</v>
      </c>
      <c r="EA4" s="29">
        <v>0</v>
      </c>
      <c r="EC4" s="29">
        <v>0</v>
      </c>
      <c r="EE4" s="29">
        <v>0</v>
      </c>
      <c r="EF4" s="29">
        <v>0</v>
      </c>
      <c r="EH4" s="29">
        <v>0</v>
      </c>
      <c r="EI4" s="29">
        <f t="shared" si="8"/>
        <v>0</v>
      </c>
      <c r="EJ4" s="29">
        <f t="shared" si="8"/>
        <v>0</v>
      </c>
      <c r="EK4" s="29">
        <v>0</v>
      </c>
      <c r="EL4" s="29">
        <v>0</v>
      </c>
      <c r="EM4" s="29">
        <v>0</v>
      </c>
      <c r="EN4" s="29">
        <v>0</v>
      </c>
      <c r="EO4" s="29">
        <v>0</v>
      </c>
      <c r="EP4" s="29">
        <v>0</v>
      </c>
      <c r="EQ4" s="29">
        <v>0</v>
      </c>
      <c r="ES4" s="29">
        <v>0</v>
      </c>
      <c r="ET4" s="29">
        <v>0</v>
      </c>
      <c r="EU4" s="29">
        <v>0</v>
      </c>
      <c r="EV4" s="29">
        <v>0</v>
      </c>
      <c r="EW4" s="29">
        <v>0</v>
      </c>
      <c r="EX4" s="29">
        <v>0</v>
      </c>
      <c r="EY4" s="29">
        <v>0</v>
      </c>
      <c r="EZ4" s="29">
        <v>0</v>
      </c>
      <c r="FA4" s="29">
        <v>0</v>
      </c>
      <c r="FB4" s="29">
        <f t="shared" si="9"/>
        <v>0</v>
      </c>
      <c r="FC4" s="29">
        <v>0</v>
      </c>
      <c r="FD4" s="29">
        <v>0</v>
      </c>
      <c r="FE4" s="29">
        <v>0</v>
      </c>
      <c r="FF4" s="29">
        <v>0</v>
      </c>
      <c r="FG4" s="29">
        <v>0</v>
      </c>
      <c r="FH4" s="29">
        <v>0</v>
      </c>
      <c r="FK4" s="29">
        <v>0</v>
      </c>
      <c r="FN4" s="29">
        <v>0</v>
      </c>
      <c r="FO4" s="29">
        <v>0</v>
      </c>
      <c r="FQ4" s="29">
        <v>0</v>
      </c>
      <c r="FT4" s="29">
        <v>0</v>
      </c>
      <c r="FU4" s="29">
        <v>0</v>
      </c>
      <c r="FV4" s="29">
        <v>0</v>
      </c>
      <c r="FW4" s="29">
        <v>0</v>
      </c>
      <c r="FX4" s="29">
        <v>0</v>
      </c>
      <c r="FY4" s="29">
        <v>0</v>
      </c>
      <c r="FZ4" s="29">
        <v>0</v>
      </c>
      <c r="GA4" s="25" t="s">
        <v>222</v>
      </c>
      <c r="GB4" s="30" t="s">
        <v>223</v>
      </c>
      <c r="GC4" s="25"/>
      <c r="GD4" s="31" t="s">
        <v>221</v>
      </c>
      <c r="GE4" s="31"/>
      <c r="GF4" s="35"/>
      <c r="GG4" s="35"/>
    </row>
    <row r="5" spans="1:191" ht="15.6" x14ac:dyDescent="0.3">
      <c r="A5" s="34" t="s">
        <v>217</v>
      </c>
      <c r="B5" s="34">
        <v>71367</v>
      </c>
      <c r="C5" s="25"/>
      <c r="D5" s="25"/>
      <c r="E5" s="25"/>
      <c r="F5" s="25"/>
      <c r="G5" s="25"/>
      <c r="H5" s="25"/>
      <c r="I5" s="25"/>
      <c r="J5" s="25">
        <v>2</v>
      </c>
      <c r="K5" s="25" t="s">
        <v>218</v>
      </c>
      <c r="L5" s="25" t="s">
        <v>219</v>
      </c>
      <c r="M5" s="25" t="s">
        <v>220</v>
      </c>
      <c r="N5" s="26" t="s">
        <v>203</v>
      </c>
      <c r="O5" s="27">
        <v>0.99652777777777779</v>
      </c>
      <c r="P5" s="28">
        <v>46143</v>
      </c>
      <c r="Q5" s="29">
        <f t="shared" si="0"/>
        <v>0</v>
      </c>
      <c r="R5" s="29">
        <f t="shared" si="0"/>
        <v>0</v>
      </c>
      <c r="S5" s="29">
        <v>0</v>
      </c>
      <c r="T5" s="29">
        <v>0</v>
      </c>
      <c r="U5" s="29">
        <v>0</v>
      </c>
      <c r="V5" s="29">
        <v>0</v>
      </c>
      <c r="W5" s="29">
        <v>0</v>
      </c>
      <c r="X5" s="29">
        <v>0</v>
      </c>
      <c r="Y5" s="29">
        <v>0</v>
      </c>
      <c r="Z5" s="29">
        <v>0</v>
      </c>
      <c r="AA5" s="29">
        <v>0</v>
      </c>
      <c r="AB5" s="29">
        <v>0</v>
      </c>
      <c r="AC5" s="29">
        <v>0</v>
      </c>
      <c r="AD5" s="29">
        <v>0</v>
      </c>
      <c r="AF5" s="29">
        <v>0</v>
      </c>
      <c r="AH5" s="29">
        <v>0</v>
      </c>
      <c r="AI5" s="29">
        <v>0</v>
      </c>
      <c r="AJ5" s="29">
        <v>0</v>
      </c>
      <c r="AK5" s="29">
        <v>0</v>
      </c>
      <c r="AL5" s="29">
        <v>0</v>
      </c>
      <c r="AM5" s="29">
        <v>0</v>
      </c>
      <c r="AN5" s="29">
        <f t="shared" si="1"/>
        <v>0</v>
      </c>
      <c r="AO5" s="29">
        <f t="shared" si="1"/>
        <v>0</v>
      </c>
      <c r="AP5" s="29">
        <v>0</v>
      </c>
      <c r="AR5" s="29">
        <v>0</v>
      </c>
      <c r="AS5" s="29">
        <v>0</v>
      </c>
      <c r="AT5" s="29">
        <v>0</v>
      </c>
      <c r="AU5" s="29">
        <v>0</v>
      </c>
      <c r="AV5" s="29">
        <v>0</v>
      </c>
      <c r="AW5" s="29">
        <v>0</v>
      </c>
      <c r="AX5" s="29">
        <f t="shared" si="2"/>
        <v>0</v>
      </c>
      <c r="AY5" s="29">
        <f t="shared" si="2"/>
        <v>0</v>
      </c>
      <c r="AZ5" s="29">
        <v>0</v>
      </c>
      <c r="BD5" s="29">
        <v>0</v>
      </c>
      <c r="BE5" s="29">
        <v>0</v>
      </c>
      <c r="BF5" s="29">
        <v>0</v>
      </c>
      <c r="BG5" s="29">
        <v>0</v>
      </c>
      <c r="BH5" s="29">
        <f t="shared" si="3"/>
        <v>0</v>
      </c>
      <c r="BI5" s="29">
        <f t="shared" si="3"/>
        <v>0</v>
      </c>
      <c r="BJ5" s="29">
        <v>0</v>
      </c>
      <c r="BN5" s="29">
        <v>0</v>
      </c>
      <c r="BQ5" s="29">
        <v>0</v>
      </c>
      <c r="BT5" s="29">
        <v>0</v>
      </c>
      <c r="BW5" s="29">
        <v>0</v>
      </c>
      <c r="BZ5" s="29">
        <v>0</v>
      </c>
      <c r="CC5" s="29">
        <v>0</v>
      </c>
      <c r="CF5" s="29">
        <v>0</v>
      </c>
      <c r="CL5" s="29">
        <v>0</v>
      </c>
      <c r="CM5" s="29">
        <v>0</v>
      </c>
      <c r="CN5" s="29">
        <v>0</v>
      </c>
      <c r="CO5" s="29">
        <v>0</v>
      </c>
      <c r="CP5" s="29">
        <f t="shared" si="4"/>
        <v>0</v>
      </c>
      <c r="CQ5" s="29">
        <f t="shared" si="4"/>
        <v>0</v>
      </c>
      <c r="CR5" s="29">
        <v>0</v>
      </c>
      <c r="CV5" s="29">
        <v>0</v>
      </c>
      <c r="CW5" s="29">
        <v>0</v>
      </c>
      <c r="CX5" s="29">
        <v>0</v>
      </c>
      <c r="CY5" s="29">
        <v>0</v>
      </c>
      <c r="CZ5" s="29">
        <f t="shared" si="5"/>
        <v>0</v>
      </c>
      <c r="DA5" s="29">
        <f t="shared" si="5"/>
        <v>0</v>
      </c>
      <c r="DB5" s="29">
        <v>0</v>
      </c>
      <c r="DC5" s="29">
        <v>0</v>
      </c>
      <c r="DF5" s="29">
        <v>0</v>
      </c>
      <c r="DG5" s="29">
        <v>0</v>
      </c>
      <c r="DH5" s="29">
        <v>0</v>
      </c>
      <c r="DK5" s="29">
        <v>0</v>
      </c>
      <c r="DL5" s="29">
        <v>0</v>
      </c>
      <c r="DM5" s="29">
        <v>0</v>
      </c>
      <c r="DN5" s="29">
        <v>0</v>
      </c>
      <c r="DO5" s="29">
        <f t="shared" si="6"/>
        <v>0</v>
      </c>
      <c r="DP5" s="29">
        <f t="shared" si="6"/>
        <v>0</v>
      </c>
      <c r="DQ5" s="29">
        <v>0</v>
      </c>
      <c r="DR5" s="29">
        <v>0</v>
      </c>
      <c r="DU5" s="29">
        <v>0</v>
      </c>
      <c r="DV5" s="29">
        <v>0</v>
      </c>
      <c r="DW5" s="29">
        <v>0</v>
      </c>
      <c r="DX5" s="29">
        <v>0</v>
      </c>
      <c r="DY5" s="29">
        <f t="shared" si="7"/>
        <v>0</v>
      </c>
      <c r="DZ5" s="29">
        <f t="shared" si="7"/>
        <v>0</v>
      </c>
      <c r="EA5" s="29">
        <v>0</v>
      </c>
      <c r="EC5" s="29">
        <v>0</v>
      </c>
      <c r="EE5" s="29">
        <v>0</v>
      </c>
      <c r="EF5" s="29">
        <v>0</v>
      </c>
      <c r="EH5" s="29">
        <v>0</v>
      </c>
      <c r="EI5" s="29">
        <f t="shared" si="8"/>
        <v>0</v>
      </c>
      <c r="EJ5" s="29">
        <f t="shared" si="8"/>
        <v>0</v>
      </c>
      <c r="EK5" s="29">
        <v>0</v>
      </c>
      <c r="EL5" s="29">
        <v>0</v>
      </c>
      <c r="EM5" s="29">
        <v>0</v>
      </c>
      <c r="EN5" s="29">
        <v>0</v>
      </c>
      <c r="EO5" s="29">
        <v>0</v>
      </c>
      <c r="EP5" s="29">
        <v>0</v>
      </c>
      <c r="EQ5" s="29">
        <v>0</v>
      </c>
      <c r="ES5" s="29">
        <v>0</v>
      </c>
      <c r="ET5" s="29">
        <v>0</v>
      </c>
      <c r="EU5" s="29">
        <v>0</v>
      </c>
      <c r="EV5" s="29">
        <v>0</v>
      </c>
      <c r="EW5" s="29">
        <v>0</v>
      </c>
      <c r="EX5" s="29">
        <v>0</v>
      </c>
      <c r="EY5" s="29">
        <v>0</v>
      </c>
      <c r="EZ5" s="29">
        <v>0</v>
      </c>
      <c r="FA5" s="29">
        <v>0</v>
      </c>
      <c r="FB5" s="29">
        <f t="shared" si="9"/>
        <v>0</v>
      </c>
      <c r="FC5" s="29">
        <v>0</v>
      </c>
      <c r="FD5" s="29">
        <v>0</v>
      </c>
      <c r="FE5" s="29">
        <v>0</v>
      </c>
      <c r="FF5" s="29">
        <v>0</v>
      </c>
      <c r="FG5" s="29">
        <v>0</v>
      </c>
      <c r="FH5" s="29">
        <v>0</v>
      </c>
      <c r="FK5" s="29">
        <v>0</v>
      </c>
      <c r="FN5" s="29">
        <v>0</v>
      </c>
      <c r="FO5" s="29">
        <v>0</v>
      </c>
      <c r="FQ5" s="29">
        <v>0</v>
      </c>
      <c r="FT5" s="29">
        <v>0</v>
      </c>
      <c r="FU5" s="29">
        <v>0</v>
      </c>
      <c r="FV5" s="29">
        <v>0</v>
      </c>
      <c r="FW5" s="29">
        <v>0</v>
      </c>
      <c r="FX5" s="29">
        <v>0</v>
      </c>
      <c r="FY5" s="29">
        <v>0</v>
      </c>
      <c r="FZ5" s="29">
        <v>0</v>
      </c>
      <c r="GA5" s="25"/>
      <c r="GB5" s="30"/>
      <c r="GC5" s="25"/>
      <c r="GD5" s="31" t="s">
        <v>221</v>
      </c>
      <c r="GE5" s="31"/>
      <c r="GF5" s="35"/>
      <c r="GG5" s="35"/>
    </row>
    <row r="6" spans="1:191" ht="15.6" x14ac:dyDescent="0.3">
      <c r="A6" s="25" t="s">
        <v>212</v>
      </c>
      <c r="B6" s="25">
        <v>72231</v>
      </c>
      <c r="C6" s="25"/>
      <c r="D6" s="25"/>
      <c r="E6" s="25"/>
      <c r="F6" s="25"/>
      <c r="G6" s="25"/>
      <c r="H6" s="25"/>
      <c r="I6" s="25"/>
      <c r="J6" s="25">
        <v>3</v>
      </c>
      <c r="K6" s="25" t="s">
        <v>218</v>
      </c>
      <c r="L6" s="25" t="s">
        <v>219</v>
      </c>
      <c r="M6" s="25" t="s">
        <v>215</v>
      </c>
      <c r="N6" s="25" t="s">
        <v>203</v>
      </c>
      <c r="O6" s="36">
        <v>0.49236111111111108</v>
      </c>
      <c r="P6" s="37">
        <v>46196</v>
      </c>
      <c r="Q6" s="29">
        <f t="shared" si="0"/>
        <v>0</v>
      </c>
      <c r="R6" s="29">
        <f t="shared" si="0"/>
        <v>0</v>
      </c>
      <c r="S6" s="29">
        <v>0</v>
      </c>
      <c r="T6" s="29">
        <v>0</v>
      </c>
      <c r="U6" s="29">
        <v>0</v>
      </c>
      <c r="V6" s="29">
        <v>0</v>
      </c>
      <c r="W6" s="29">
        <v>0</v>
      </c>
      <c r="X6" s="29">
        <v>0</v>
      </c>
      <c r="Y6" s="29">
        <v>0</v>
      </c>
      <c r="Z6" s="29">
        <v>0</v>
      </c>
      <c r="AA6" s="29">
        <v>0</v>
      </c>
      <c r="AB6" s="29">
        <v>0</v>
      </c>
      <c r="AC6" s="29">
        <v>0</v>
      </c>
      <c r="AD6" s="29">
        <v>0</v>
      </c>
      <c r="AF6" s="29">
        <v>0</v>
      </c>
      <c r="AH6" s="29">
        <v>0</v>
      </c>
      <c r="AI6" s="29">
        <v>0</v>
      </c>
      <c r="AJ6" s="29">
        <v>0</v>
      </c>
      <c r="AK6" s="29">
        <v>0</v>
      </c>
      <c r="AL6" s="29">
        <v>0</v>
      </c>
      <c r="AM6" s="29">
        <v>0</v>
      </c>
      <c r="AN6" s="29">
        <f t="shared" si="1"/>
        <v>0</v>
      </c>
      <c r="AO6" s="29">
        <f t="shared" si="1"/>
        <v>0</v>
      </c>
      <c r="AP6" s="29">
        <v>0</v>
      </c>
      <c r="AR6" s="29">
        <v>0</v>
      </c>
      <c r="AS6" s="29">
        <v>0</v>
      </c>
      <c r="AT6" s="29">
        <v>0</v>
      </c>
      <c r="AU6" s="29">
        <v>0</v>
      </c>
      <c r="AV6" s="29">
        <v>0</v>
      </c>
      <c r="AW6" s="29">
        <v>0</v>
      </c>
      <c r="AX6" s="29">
        <f t="shared" si="2"/>
        <v>0</v>
      </c>
      <c r="AY6" s="29">
        <f t="shared" si="2"/>
        <v>0</v>
      </c>
      <c r="AZ6" s="29">
        <v>0</v>
      </c>
      <c r="BD6" s="29">
        <v>0</v>
      </c>
      <c r="BE6" s="29">
        <v>0</v>
      </c>
      <c r="BF6" s="29">
        <v>0</v>
      </c>
      <c r="BG6" s="29">
        <v>0</v>
      </c>
      <c r="BH6" s="29">
        <f t="shared" si="3"/>
        <v>0</v>
      </c>
      <c r="BI6" s="29">
        <f t="shared" si="3"/>
        <v>0</v>
      </c>
      <c r="BJ6" s="29">
        <v>0</v>
      </c>
      <c r="BN6" s="29">
        <v>0</v>
      </c>
      <c r="BQ6" s="29">
        <v>0</v>
      </c>
      <c r="BT6" s="29">
        <v>0</v>
      </c>
      <c r="BW6" s="29">
        <v>0</v>
      </c>
      <c r="BZ6" s="29">
        <v>0</v>
      </c>
      <c r="CC6" s="29">
        <v>0</v>
      </c>
      <c r="CF6" s="29">
        <v>0</v>
      </c>
      <c r="CL6" s="29">
        <v>0</v>
      </c>
      <c r="CM6" s="29">
        <v>0</v>
      </c>
      <c r="CN6" s="29">
        <v>0</v>
      </c>
      <c r="CO6" s="29">
        <v>0</v>
      </c>
      <c r="CP6" s="29">
        <f t="shared" si="4"/>
        <v>0</v>
      </c>
      <c r="CQ6" s="29">
        <f t="shared" si="4"/>
        <v>0</v>
      </c>
      <c r="CR6" s="29">
        <v>0</v>
      </c>
      <c r="CV6" s="29">
        <v>0</v>
      </c>
      <c r="CW6" s="29">
        <v>0</v>
      </c>
      <c r="CX6" s="29">
        <v>0</v>
      </c>
      <c r="CY6" s="29">
        <v>0</v>
      </c>
      <c r="CZ6" s="29">
        <f t="shared" si="5"/>
        <v>0</v>
      </c>
      <c r="DA6" s="29">
        <f t="shared" si="5"/>
        <v>0</v>
      </c>
      <c r="DB6" s="29">
        <v>0</v>
      </c>
      <c r="DC6" s="29">
        <v>0</v>
      </c>
      <c r="DF6" s="29">
        <v>0</v>
      </c>
      <c r="DG6" s="29">
        <v>0</v>
      </c>
      <c r="DH6" s="29">
        <v>0</v>
      </c>
      <c r="DK6" s="29">
        <v>0</v>
      </c>
      <c r="DL6" s="29">
        <v>0</v>
      </c>
      <c r="DM6" s="29">
        <v>0</v>
      </c>
      <c r="DN6" s="29">
        <v>0</v>
      </c>
      <c r="DO6" s="29">
        <f t="shared" si="6"/>
        <v>0</v>
      </c>
      <c r="DP6" s="29">
        <f t="shared" si="6"/>
        <v>0</v>
      </c>
      <c r="DQ6" s="29">
        <v>0</v>
      </c>
      <c r="DR6" s="29">
        <v>0</v>
      </c>
      <c r="DU6" s="29">
        <v>0</v>
      </c>
      <c r="DV6" s="29">
        <v>0</v>
      </c>
      <c r="DW6" s="29">
        <v>0</v>
      </c>
      <c r="DX6" s="29">
        <v>0</v>
      </c>
      <c r="DY6" s="29">
        <f t="shared" si="7"/>
        <v>0</v>
      </c>
      <c r="DZ6" s="29">
        <f t="shared" si="7"/>
        <v>0</v>
      </c>
      <c r="EA6" s="29">
        <v>0</v>
      </c>
      <c r="EC6" s="29">
        <v>0</v>
      </c>
      <c r="EE6" s="29">
        <v>0</v>
      </c>
      <c r="EF6" s="29">
        <v>0</v>
      </c>
      <c r="EH6" s="29">
        <v>0</v>
      </c>
      <c r="EI6" s="29">
        <f t="shared" si="8"/>
        <v>0</v>
      </c>
      <c r="EJ6" s="29">
        <f t="shared" si="8"/>
        <v>0</v>
      </c>
      <c r="EK6" s="29">
        <v>0</v>
      </c>
      <c r="EL6" s="29">
        <v>0</v>
      </c>
      <c r="EM6" s="29">
        <v>0</v>
      </c>
      <c r="EN6" s="29">
        <v>0</v>
      </c>
      <c r="EO6" s="29">
        <v>0</v>
      </c>
      <c r="EP6" s="29">
        <v>0</v>
      </c>
      <c r="EQ6" s="29">
        <v>0</v>
      </c>
      <c r="ES6" s="29">
        <v>0</v>
      </c>
      <c r="ET6" s="29">
        <v>0</v>
      </c>
      <c r="EU6" s="29">
        <v>0</v>
      </c>
      <c r="EV6" s="29">
        <v>0</v>
      </c>
      <c r="EW6" s="29">
        <v>0</v>
      </c>
      <c r="EX6" s="29">
        <v>0</v>
      </c>
      <c r="EY6" s="29">
        <v>0</v>
      </c>
      <c r="EZ6" s="29">
        <v>0</v>
      </c>
      <c r="FA6" s="29">
        <v>0</v>
      </c>
      <c r="FB6" s="29">
        <f t="shared" si="9"/>
        <v>0</v>
      </c>
      <c r="FC6" s="29">
        <v>0</v>
      </c>
      <c r="FD6" s="29">
        <v>0</v>
      </c>
      <c r="FE6" s="29">
        <v>0</v>
      </c>
      <c r="FF6" s="29">
        <v>0</v>
      </c>
      <c r="FG6" s="29">
        <v>0</v>
      </c>
      <c r="FH6" s="29">
        <v>0</v>
      </c>
      <c r="FK6" s="29">
        <v>0</v>
      </c>
      <c r="FN6" s="29">
        <v>0</v>
      </c>
      <c r="FO6" s="29">
        <v>0</v>
      </c>
      <c r="FQ6" s="29">
        <v>0</v>
      </c>
      <c r="FT6" s="29">
        <v>0</v>
      </c>
      <c r="FU6" s="29">
        <v>0</v>
      </c>
      <c r="FV6" s="29">
        <v>0</v>
      </c>
      <c r="FW6" s="29">
        <v>0</v>
      </c>
      <c r="FX6" s="29">
        <v>0</v>
      </c>
      <c r="FY6" s="29">
        <v>0</v>
      </c>
      <c r="FZ6" s="29">
        <v>0</v>
      </c>
      <c r="GA6" s="25"/>
      <c r="GB6" s="25"/>
      <c r="GC6" s="25" t="s">
        <v>210</v>
      </c>
      <c r="GD6" s="38" t="s">
        <v>216</v>
      </c>
      <c r="GE6" s="39"/>
      <c r="GF6" s="39"/>
      <c r="GG6" s="35"/>
    </row>
    <row r="7" spans="1:191" ht="15.6" x14ac:dyDescent="0.3">
      <c r="A7" s="25" t="s">
        <v>212</v>
      </c>
      <c r="B7" s="25">
        <v>72231</v>
      </c>
      <c r="C7" s="25"/>
      <c r="D7" s="25"/>
      <c r="E7" s="25"/>
      <c r="F7" s="25"/>
      <c r="G7" s="25"/>
      <c r="H7" s="25"/>
      <c r="I7" s="25"/>
      <c r="J7" s="25">
        <v>3</v>
      </c>
      <c r="K7" s="25" t="s">
        <v>213</v>
      </c>
      <c r="L7" s="25" t="s">
        <v>214</v>
      </c>
      <c r="M7" s="25" t="s">
        <v>215</v>
      </c>
      <c r="N7" s="25" t="s">
        <v>203</v>
      </c>
      <c r="O7" s="36">
        <v>0.49236111111111108</v>
      </c>
      <c r="P7" s="37">
        <v>46196</v>
      </c>
      <c r="Q7" s="29">
        <f t="shared" si="0"/>
        <v>0</v>
      </c>
      <c r="R7" s="29">
        <f t="shared" si="0"/>
        <v>0</v>
      </c>
      <c r="S7" s="29">
        <v>0</v>
      </c>
      <c r="T7" s="29">
        <v>0</v>
      </c>
      <c r="U7" s="29">
        <v>0</v>
      </c>
      <c r="V7" s="29">
        <v>0</v>
      </c>
      <c r="W7" s="29">
        <v>0</v>
      </c>
      <c r="X7" s="29">
        <v>0</v>
      </c>
      <c r="Y7" s="29">
        <v>0</v>
      </c>
      <c r="Z7" s="29">
        <v>0</v>
      </c>
      <c r="AA7" s="29">
        <v>0</v>
      </c>
      <c r="AB7" s="29">
        <v>0</v>
      </c>
      <c r="AC7" s="29">
        <v>0</v>
      </c>
      <c r="AD7" s="29">
        <v>0</v>
      </c>
      <c r="AF7" s="29">
        <v>1</v>
      </c>
      <c r="AG7" s="29" t="s">
        <v>205</v>
      </c>
      <c r="AH7" s="29">
        <v>0</v>
      </c>
      <c r="AI7" s="29">
        <v>0</v>
      </c>
      <c r="AJ7" s="29">
        <v>0</v>
      </c>
      <c r="AK7" s="29">
        <v>0</v>
      </c>
      <c r="AL7" s="29">
        <v>0</v>
      </c>
      <c r="AM7" s="29">
        <v>0</v>
      </c>
      <c r="AN7" s="29">
        <f t="shared" si="1"/>
        <v>0</v>
      </c>
      <c r="AO7" s="29">
        <f t="shared" si="1"/>
        <v>0</v>
      </c>
      <c r="AP7" s="29">
        <v>0</v>
      </c>
      <c r="AR7" s="29">
        <v>0</v>
      </c>
      <c r="AS7" s="29">
        <v>0</v>
      </c>
      <c r="AT7" s="29">
        <v>0</v>
      </c>
      <c r="AU7" s="29">
        <v>0</v>
      </c>
      <c r="AV7" s="29">
        <v>0</v>
      </c>
      <c r="AW7" s="29">
        <v>0</v>
      </c>
      <c r="AX7" s="29">
        <f t="shared" si="2"/>
        <v>0</v>
      </c>
      <c r="AY7" s="29">
        <f t="shared" si="2"/>
        <v>0</v>
      </c>
      <c r="AZ7" s="29">
        <v>0</v>
      </c>
      <c r="BD7" s="29">
        <v>0</v>
      </c>
      <c r="BE7" s="29">
        <v>0</v>
      </c>
      <c r="BF7" s="29">
        <v>0</v>
      </c>
      <c r="BG7" s="29">
        <v>0</v>
      </c>
      <c r="BH7" s="29">
        <f t="shared" si="3"/>
        <v>0</v>
      </c>
      <c r="BI7" s="29">
        <f t="shared" si="3"/>
        <v>0</v>
      </c>
      <c r="BJ7" s="29">
        <v>0</v>
      </c>
      <c r="BN7" s="29">
        <v>0</v>
      </c>
      <c r="BQ7" s="29">
        <v>0</v>
      </c>
      <c r="BT7" s="29">
        <v>0</v>
      </c>
      <c r="BW7" s="29">
        <v>0</v>
      </c>
      <c r="BZ7" s="29">
        <v>0</v>
      </c>
      <c r="CC7" s="29">
        <v>0</v>
      </c>
      <c r="CF7" s="29">
        <v>0</v>
      </c>
      <c r="CL7" s="29">
        <v>0</v>
      </c>
      <c r="CM7" s="29">
        <v>0</v>
      </c>
      <c r="CN7" s="29">
        <v>0</v>
      </c>
      <c r="CO7" s="29">
        <v>0</v>
      </c>
      <c r="CP7" s="29">
        <f t="shared" si="4"/>
        <v>0</v>
      </c>
      <c r="CQ7" s="29">
        <f t="shared" si="4"/>
        <v>0</v>
      </c>
      <c r="CR7" s="29">
        <v>0</v>
      </c>
      <c r="CV7" s="29">
        <v>0</v>
      </c>
      <c r="CW7" s="29">
        <v>0</v>
      </c>
      <c r="CX7" s="29">
        <v>0</v>
      </c>
      <c r="CY7" s="29">
        <v>0</v>
      </c>
      <c r="CZ7" s="29">
        <f t="shared" si="5"/>
        <v>0</v>
      </c>
      <c r="DA7" s="29">
        <f t="shared" si="5"/>
        <v>0</v>
      </c>
      <c r="DB7" s="29">
        <v>0</v>
      </c>
      <c r="DC7" s="29">
        <v>0</v>
      </c>
      <c r="DF7" s="29">
        <v>0</v>
      </c>
      <c r="DG7" s="29">
        <v>0</v>
      </c>
      <c r="DH7" s="29">
        <v>0</v>
      </c>
      <c r="DK7" s="29">
        <v>0</v>
      </c>
      <c r="DL7" s="29">
        <v>0</v>
      </c>
      <c r="DM7" s="29">
        <v>0</v>
      </c>
      <c r="DN7" s="29">
        <v>0</v>
      </c>
      <c r="DO7" s="29">
        <f t="shared" si="6"/>
        <v>0</v>
      </c>
      <c r="DP7" s="29">
        <f t="shared" si="6"/>
        <v>0</v>
      </c>
      <c r="DQ7" s="29">
        <v>0</v>
      </c>
      <c r="DR7" s="29">
        <v>0</v>
      </c>
      <c r="DU7" s="29">
        <v>0</v>
      </c>
      <c r="DV7" s="29">
        <v>0</v>
      </c>
      <c r="DW7" s="29">
        <v>0</v>
      </c>
      <c r="DX7" s="29">
        <v>0</v>
      </c>
      <c r="DY7" s="29">
        <f t="shared" si="7"/>
        <v>0</v>
      </c>
      <c r="DZ7" s="29">
        <f t="shared" si="7"/>
        <v>0</v>
      </c>
      <c r="EA7" s="29">
        <v>0</v>
      </c>
      <c r="EC7" s="29">
        <v>0</v>
      </c>
      <c r="EE7" s="29">
        <v>0</v>
      </c>
      <c r="EF7" s="29">
        <v>0</v>
      </c>
      <c r="EH7" s="29">
        <v>0</v>
      </c>
      <c r="EI7" s="29">
        <f t="shared" si="8"/>
        <v>0</v>
      </c>
      <c r="EJ7" s="29">
        <f t="shared" si="8"/>
        <v>0</v>
      </c>
      <c r="EK7" s="29">
        <v>0</v>
      </c>
      <c r="EL7" s="29">
        <v>0</v>
      </c>
      <c r="EM7" s="29">
        <v>0</v>
      </c>
      <c r="EN7" s="29">
        <v>0</v>
      </c>
      <c r="EO7" s="29">
        <v>0</v>
      </c>
      <c r="EP7" s="29">
        <v>0</v>
      </c>
      <c r="EQ7" s="29">
        <v>0</v>
      </c>
      <c r="ES7" s="29">
        <v>0</v>
      </c>
      <c r="ET7" s="29">
        <v>0</v>
      </c>
      <c r="EU7" s="29">
        <v>0</v>
      </c>
      <c r="EV7" s="29">
        <v>0</v>
      </c>
      <c r="EW7" s="29">
        <v>0</v>
      </c>
      <c r="EX7" s="29">
        <v>0</v>
      </c>
      <c r="EY7" s="29">
        <v>0</v>
      </c>
      <c r="EZ7" s="29">
        <v>0</v>
      </c>
      <c r="FA7" s="29">
        <v>0</v>
      </c>
      <c r="FB7" s="29">
        <f t="shared" si="9"/>
        <v>0</v>
      </c>
      <c r="FC7" s="29">
        <v>0</v>
      </c>
      <c r="FD7" s="29">
        <v>0</v>
      </c>
      <c r="FE7" s="29">
        <v>0</v>
      </c>
      <c r="FF7" s="29">
        <v>0</v>
      </c>
      <c r="FG7" s="29">
        <v>0</v>
      </c>
      <c r="FH7" s="29">
        <v>0</v>
      </c>
      <c r="FK7" s="29">
        <v>0</v>
      </c>
      <c r="FN7" s="29">
        <v>0</v>
      </c>
      <c r="FO7" s="29">
        <v>0</v>
      </c>
      <c r="FQ7" s="29">
        <v>0</v>
      </c>
      <c r="FT7" s="29">
        <v>0</v>
      </c>
      <c r="FU7" s="29">
        <v>0</v>
      </c>
      <c r="FV7" s="29">
        <v>0</v>
      </c>
      <c r="FW7" s="29">
        <v>0</v>
      </c>
      <c r="FX7" s="29">
        <v>0</v>
      </c>
      <c r="FY7" s="29">
        <v>0</v>
      </c>
      <c r="FZ7" s="29">
        <v>0</v>
      </c>
      <c r="GA7" s="25"/>
      <c r="GB7" s="25"/>
      <c r="GC7" s="25" t="s">
        <v>210</v>
      </c>
      <c r="GD7" s="38" t="s">
        <v>216</v>
      </c>
      <c r="GE7" s="39"/>
      <c r="GF7" s="39"/>
      <c r="GG7" s="35"/>
    </row>
    <row r="8" spans="1:191" ht="15.6" x14ac:dyDescent="0.3">
      <c r="A8" s="25" t="s">
        <v>224</v>
      </c>
      <c r="B8" s="25">
        <v>61183</v>
      </c>
      <c r="C8" s="25"/>
      <c r="D8" s="25"/>
      <c r="E8" s="25"/>
      <c r="F8" s="25"/>
      <c r="G8" s="25"/>
      <c r="H8" s="25"/>
      <c r="I8" s="25"/>
      <c r="J8" s="25">
        <v>3</v>
      </c>
      <c r="K8" s="26" t="s">
        <v>225</v>
      </c>
      <c r="L8" s="26" t="s">
        <v>226</v>
      </c>
      <c r="M8" s="26" t="s">
        <v>227</v>
      </c>
      <c r="N8" s="26" t="s">
        <v>228</v>
      </c>
      <c r="O8" s="27">
        <v>0.54166666666666663</v>
      </c>
      <c r="P8" s="28">
        <v>46176</v>
      </c>
      <c r="Q8" s="29">
        <f t="shared" si="0"/>
        <v>0</v>
      </c>
      <c r="R8" s="29">
        <f t="shared" si="0"/>
        <v>0</v>
      </c>
      <c r="S8" s="29">
        <v>0</v>
      </c>
      <c r="T8" s="29">
        <v>0</v>
      </c>
      <c r="U8" s="29">
        <v>0</v>
      </c>
      <c r="V8" s="29">
        <v>0</v>
      </c>
      <c r="W8" s="29">
        <v>0</v>
      </c>
      <c r="X8" s="29">
        <v>0</v>
      </c>
      <c r="Y8" s="29">
        <v>0</v>
      </c>
      <c r="Z8" s="29">
        <v>0</v>
      </c>
      <c r="AA8" s="29">
        <v>0</v>
      </c>
      <c r="AB8" s="29">
        <v>0</v>
      </c>
      <c r="AC8" s="29">
        <v>0</v>
      </c>
      <c r="AD8" s="29">
        <v>0</v>
      </c>
      <c r="AF8" s="29">
        <v>0</v>
      </c>
      <c r="AH8" s="29">
        <v>0</v>
      </c>
      <c r="AI8" s="29">
        <v>0</v>
      </c>
      <c r="AJ8" s="29">
        <v>0</v>
      </c>
      <c r="AK8" s="29">
        <v>0</v>
      </c>
      <c r="AL8" s="29">
        <v>0</v>
      </c>
      <c r="AM8" s="29">
        <v>0</v>
      </c>
      <c r="AN8" s="29">
        <f t="shared" si="1"/>
        <v>0</v>
      </c>
      <c r="AO8" s="29">
        <f t="shared" si="1"/>
        <v>0</v>
      </c>
      <c r="AP8" s="29">
        <v>0</v>
      </c>
      <c r="AR8" s="29">
        <v>0</v>
      </c>
      <c r="AS8" s="29">
        <v>0</v>
      </c>
      <c r="AT8" s="29">
        <v>0</v>
      </c>
      <c r="AU8" s="29">
        <v>0</v>
      </c>
      <c r="AV8" s="29">
        <v>0</v>
      </c>
      <c r="AW8" s="29">
        <v>0</v>
      </c>
      <c r="AX8" s="29">
        <f t="shared" si="2"/>
        <v>0</v>
      </c>
      <c r="AY8" s="29">
        <f t="shared" si="2"/>
        <v>0</v>
      </c>
      <c r="AZ8" s="29">
        <v>0</v>
      </c>
      <c r="BD8" s="29">
        <v>0</v>
      </c>
      <c r="BE8" s="29">
        <v>0</v>
      </c>
      <c r="BF8" s="29">
        <v>0</v>
      </c>
      <c r="BG8" s="29">
        <v>0</v>
      </c>
      <c r="BH8" s="29">
        <f t="shared" si="3"/>
        <v>0</v>
      </c>
      <c r="BI8" s="29">
        <f t="shared" si="3"/>
        <v>0</v>
      </c>
      <c r="BJ8" s="29">
        <v>0</v>
      </c>
      <c r="BN8" s="29">
        <v>0</v>
      </c>
      <c r="BQ8" s="29">
        <v>0</v>
      </c>
      <c r="BT8" s="29">
        <v>0</v>
      </c>
      <c r="BW8" s="29">
        <v>0</v>
      </c>
      <c r="BZ8" s="29">
        <v>0</v>
      </c>
      <c r="CC8" s="29">
        <v>0</v>
      </c>
      <c r="CF8" s="29">
        <v>0</v>
      </c>
      <c r="CL8" s="29">
        <v>0</v>
      </c>
      <c r="CM8" s="29">
        <v>0</v>
      </c>
      <c r="CN8" s="29">
        <v>0</v>
      </c>
      <c r="CO8" s="29">
        <v>0</v>
      </c>
      <c r="CP8" s="29">
        <f t="shared" si="4"/>
        <v>0</v>
      </c>
      <c r="CQ8" s="29">
        <f t="shared" si="4"/>
        <v>0</v>
      </c>
      <c r="CR8" s="29">
        <v>0</v>
      </c>
      <c r="CV8" s="29">
        <v>0</v>
      </c>
      <c r="CW8" s="29">
        <v>0</v>
      </c>
      <c r="CX8" s="29">
        <v>0</v>
      </c>
      <c r="CY8" s="29">
        <v>0</v>
      </c>
      <c r="CZ8" s="29">
        <f t="shared" si="5"/>
        <v>0</v>
      </c>
      <c r="DA8" s="29">
        <f t="shared" si="5"/>
        <v>0</v>
      </c>
      <c r="DB8" s="29">
        <v>0</v>
      </c>
      <c r="DC8" s="29">
        <v>0</v>
      </c>
      <c r="DF8" s="29">
        <v>0</v>
      </c>
      <c r="DG8" s="29">
        <v>0</v>
      </c>
      <c r="DH8" s="29">
        <v>0</v>
      </c>
      <c r="DK8" s="29">
        <v>0</v>
      </c>
      <c r="DL8" s="29">
        <v>0</v>
      </c>
      <c r="DM8" s="29">
        <v>0</v>
      </c>
      <c r="DN8" s="29">
        <v>0</v>
      </c>
      <c r="DO8" s="29">
        <f t="shared" si="6"/>
        <v>0</v>
      </c>
      <c r="DP8" s="29">
        <f t="shared" si="6"/>
        <v>0</v>
      </c>
      <c r="DQ8" s="29">
        <v>0</v>
      </c>
      <c r="DR8" s="29">
        <v>0</v>
      </c>
      <c r="DU8" s="29">
        <v>0</v>
      </c>
      <c r="DV8" s="29">
        <v>0</v>
      </c>
      <c r="DW8" s="29">
        <v>0</v>
      </c>
      <c r="DX8" s="29">
        <v>0</v>
      </c>
      <c r="DY8" s="29">
        <f t="shared" si="7"/>
        <v>0</v>
      </c>
      <c r="DZ8" s="29">
        <f t="shared" si="7"/>
        <v>0</v>
      </c>
      <c r="EA8" s="29">
        <v>0</v>
      </c>
      <c r="EC8" s="29">
        <v>0</v>
      </c>
      <c r="EE8" s="29">
        <v>0</v>
      </c>
      <c r="EF8" s="29">
        <v>0</v>
      </c>
      <c r="EH8" s="29">
        <v>0</v>
      </c>
      <c r="EI8" s="29">
        <f t="shared" si="8"/>
        <v>0</v>
      </c>
      <c r="EJ8" s="29">
        <f t="shared" si="8"/>
        <v>0</v>
      </c>
      <c r="EK8" s="29">
        <v>0</v>
      </c>
      <c r="EL8" s="29">
        <v>0</v>
      </c>
      <c r="EM8" s="29">
        <v>0</v>
      </c>
      <c r="EN8" s="29">
        <v>0</v>
      </c>
      <c r="EO8" s="29">
        <v>0</v>
      </c>
      <c r="EP8" s="29">
        <v>0</v>
      </c>
      <c r="EQ8" s="29">
        <v>0</v>
      </c>
      <c r="ES8" s="29">
        <v>0</v>
      </c>
      <c r="ET8" s="29">
        <v>0</v>
      </c>
      <c r="EU8" s="29">
        <v>0</v>
      </c>
      <c r="EV8" s="29">
        <v>0</v>
      </c>
      <c r="EW8" s="29">
        <v>0</v>
      </c>
      <c r="EX8" s="29">
        <v>0</v>
      </c>
      <c r="EY8" s="29">
        <v>0</v>
      </c>
      <c r="EZ8" s="29">
        <v>0</v>
      </c>
      <c r="FA8" s="29">
        <v>0</v>
      </c>
      <c r="FB8" s="29">
        <f t="shared" si="9"/>
        <v>0</v>
      </c>
      <c r="FC8" s="29">
        <v>0</v>
      </c>
      <c r="FD8" s="29">
        <v>0</v>
      </c>
      <c r="FE8" s="29">
        <v>0</v>
      </c>
      <c r="FF8" s="29">
        <v>0</v>
      </c>
      <c r="FG8" s="29">
        <v>0</v>
      </c>
      <c r="FH8" s="29">
        <v>0</v>
      </c>
      <c r="FK8" s="29">
        <v>0</v>
      </c>
      <c r="FN8" s="29">
        <v>0</v>
      </c>
      <c r="FO8" s="29">
        <v>0</v>
      </c>
      <c r="FQ8" s="29">
        <v>0</v>
      </c>
      <c r="FT8" s="29">
        <v>0</v>
      </c>
      <c r="FU8" s="29">
        <v>0</v>
      </c>
      <c r="FV8" s="29">
        <v>0</v>
      </c>
      <c r="FW8" s="29">
        <v>0</v>
      </c>
      <c r="FX8" s="29">
        <v>0</v>
      </c>
      <c r="FY8" s="29">
        <v>0</v>
      </c>
      <c r="FZ8" s="29">
        <v>0</v>
      </c>
      <c r="GA8" s="26"/>
      <c r="GB8" s="26"/>
      <c r="GC8" s="25" t="s">
        <v>196</v>
      </c>
      <c r="GD8" s="22" t="s">
        <v>229</v>
      </c>
      <c r="GE8" s="22"/>
      <c r="GF8" s="39"/>
      <c r="GG8" s="39"/>
      <c r="GH8" s="25"/>
      <c r="GI8" s="25"/>
    </row>
    <row r="9" spans="1:191" ht="15.6" x14ac:dyDescent="0.3">
      <c r="A9" s="26" t="s">
        <v>230</v>
      </c>
      <c r="B9" s="26">
        <v>71377</v>
      </c>
      <c r="C9" s="26"/>
      <c r="D9" s="26"/>
      <c r="E9" s="26"/>
      <c r="F9" s="26"/>
      <c r="G9" s="26"/>
      <c r="H9" s="26"/>
      <c r="I9" s="26"/>
      <c r="J9" s="26">
        <v>1</v>
      </c>
      <c r="K9" s="26" t="s">
        <v>231</v>
      </c>
      <c r="L9" s="26" t="s">
        <v>232</v>
      </c>
      <c r="M9" s="26" t="s">
        <v>233</v>
      </c>
      <c r="N9" s="26" t="s">
        <v>234</v>
      </c>
      <c r="O9" s="40">
        <v>0.62638888888888888</v>
      </c>
      <c r="P9" s="28">
        <v>46129</v>
      </c>
      <c r="Q9" s="29">
        <f t="shared" si="0"/>
        <v>0</v>
      </c>
      <c r="R9" s="29">
        <f t="shared" si="0"/>
        <v>0</v>
      </c>
      <c r="S9" s="29">
        <v>0</v>
      </c>
      <c r="T9" s="29">
        <v>0</v>
      </c>
      <c r="U9" s="29">
        <v>0</v>
      </c>
      <c r="V9" s="29">
        <v>0</v>
      </c>
      <c r="W9" s="29">
        <v>0</v>
      </c>
      <c r="X9" s="29">
        <v>0</v>
      </c>
      <c r="Y9" s="29">
        <v>0</v>
      </c>
      <c r="Z9" s="29">
        <v>0</v>
      </c>
      <c r="AA9" s="29">
        <v>0</v>
      </c>
      <c r="AB9" s="29">
        <v>0</v>
      </c>
      <c r="AC9" s="29">
        <v>0</v>
      </c>
      <c r="AD9" s="29">
        <v>0</v>
      </c>
      <c r="AF9" s="29">
        <v>0</v>
      </c>
      <c r="AH9" s="29">
        <v>0</v>
      </c>
      <c r="AI9" s="29">
        <v>0</v>
      </c>
      <c r="AJ9" s="29">
        <v>0</v>
      </c>
      <c r="AK9" s="29">
        <v>0</v>
      </c>
      <c r="AL9" s="29">
        <v>0</v>
      </c>
      <c r="AM9" s="29">
        <v>0</v>
      </c>
      <c r="AN9" s="29">
        <f t="shared" si="1"/>
        <v>0</v>
      </c>
      <c r="AO9" s="29">
        <f t="shared" si="1"/>
        <v>0</v>
      </c>
      <c r="AP9" s="29">
        <v>0</v>
      </c>
      <c r="AR9" s="29">
        <v>0</v>
      </c>
      <c r="AS9" s="29">
        <v>0</v>
      </c>
      <c r="AT9" s="29">
        <v>0</v>
      </c>
      <c r="AU9" s="29">
        <v>0</v>
      </c>
      <c r="AV9" s="29">
        <v>0</v>
      </c>
      <c r="AW9" s="29">
        <v>0</v>
      </c>
      <c r="AX9" s="29">
        <f t="shared" si="2"/>
        <v>0</v>
      </c>
      <c r="AY9" s="29">
        <f t="shared" si="2"/>
        <v>0</v>
      </c>
      <c r="AZ9" s="29">
        <v>0</v>
      </c>
      <c r="BD9" s="29">
        <v>0</v>
      </c>
      <c r="BE9" s="29">
        <v>0</v>
      </c>
      <c r="BF9" s="29">
        <v>0</v>
      </c>
      <c r="BG9" s="29">
        <v>0</v>
      </c>
      <c r="BH9" s="29">
        <f t="shared" si="3"/>
        <v>0</v>
      </c>
      <c r="BI9" s="29">
        <f t="shared" si="3"/>
        <v>0</v>
      </c>
      <c r="BJ9" s="29">
        <v>0</v>
      </c>
      <c r="BN9" s="29">
        <v>0</v>
      </c>
      <c r="BQ9" s="29">
        <v>0</v>
      </c>
      <c r="BT9" s="29">
        <v>0</v>
      </c>
      <c r="BW9" s="29">
        <v>0</v>
      </c>
      <c r="BZ9" s="29">
        <v>0</v>
      </c>
      <c r="CC9" s="29">
        <v>1</v>
      </c>
      <c r="CD9" s="29" t="s">
        <v>205</v>
      </c>
      <c r="CE9" s="29" t="s">
        <v>230</v>
      </c>
      <c r="CF9" s="29">
        <v>0</v>
      </c>
      <c r="CL9" s="29">
        <v>0</v>
      </c>
      <c r="CM9" s="29">
        <v>0</v>
      </c>
      <c r="CN9" s="29">
        <v>0</v>
      </c>
      <c r="CO9" s="29">
        <v>0</v>
      </c>
      <c r="CP9" s="29">
        <f t="shared" si="4"/>
        <v>0</v>
      </c>
      <c r="CQ9" s="29">
        <f t="shared" si="4"/>
        <v>0</v>
      </c>
      <c r="CR9" s="29">
        <v>0</v>
      </c>
      <c r="CV9" s="29">
        <v>0</v>
      </c>
      <c r="CW9" s="29">
        <v>0</v>
      </c>
      <c r="CX9" s="29">
        <v>0</v>
      </c>
      <c r="CY9" s="29">
        <v>0</v>
      </c>
      <c r="CZ9" s="29">
        <f t="shared" si="5"/>
        <v>0</v>
      </c>
      <c r="DA9" s="29">
        <f t="shared" si="5"/>
        <v>0</v>
      </c>
      <c r="DB9" s="29">
        <v>0</v>
      </c>
      <c r="DC9" s="29">
        <v>0</v>
      </c>
      <c r="DF9" s="29">
        <v>0</v>
      </c>
      <c r="DG9" s="29">
        <v>0</v>
      </c>
      <c r="DH9" s="29">
        <v>0</v>
      </c>
      <c r="DK9" s="29">
        <v>0</v>
      </c>
      <c r="DL9" s="29">
        <v>0</v>
      </c>
      <c r="DM9" s="29">
        <v>0</v>
      </c>
      <c r="DN9" s="29">
        <v>0</v>
      </c>
      <c r="DO9" s="29">
        <f t="shared" si="6"/>
        <v>0</v>
      </c>
      <c r="DP9" s="29">
        <f t="shared" si="6"/>
        <v>0</v>
      </c>
      <c r="DQ9" s="29">
        <v>0</v>
      </c>
      <c r="DR9" s="29">
        <v>0</v>
      </c>
      <c r="DU9" s="29">
        <v>0</v>
      </c>
      <c r="DV9" s="29">
        <v>0</v>
      </c>
      <c r="DW9" s="29">
        <v>0</v>
      </c>
      <c r="DX9" s="29">
        <v>0</v>
      </c>
      <c r="DY9" s="29">
        <f t="shared" si="7"/>
        <v>0</v>
      </c>
      <c r="DZ9" s="29">
        <f t="shared" si="7"/>
        <v>0</v>
      </c>
      <c r="EA9" s="29">
        <v>0</v>
      </c>
      <c r="EC9" s="29">
        <v>0</v>
      </c>
      <c r="EE9" s="29">
        <v>0</v>
      </c>
      <c r="EF9" s="29">
        <v>0</v>
      </c>
      <c r="EH9" s="29">
        <v>0</v>
      </c>
      <c r="EI9" s="29">
        <f t="shared" si="8"/>
        <v>0</v>
      </c>
      <c r="EJ9" s="29">
        <f t="shared" si="8"/>
        <v>0</v>
      </c>
      <c r="EK9" s="29">
        <v>0</v>
      </c>
      <c r="EL9" s="29">
        <v>0</v>
      </c>
      <c r="EM9" s="29">
        <v>0</v>
      </c>
      <c r="EN9" s="29">
        <v>0</v>
      </c>
      <c r="EO9" s="29">
        <v>0</v>
      </c>
      <c r="EP9" s="29">
        <v>0</v>
      </c>
      <c r="EQ9" s="29">
        <v>0</v>
      </c>
      <c r="ES9" s="29">
        <v>0</v>
      </c>
      <c r="ET9" s="29">
        <v>0</v>
      </c>
      <c r="EU9" s="29">
        <v>0</v>
      </c>
      <c r="EV9" s="29">
        <v>0</v>
      </c>
      <c r="EW9" s="29">
        <v>0</v>
      </c>
      <c r="EX9" s="29">
        <v>0</v>
      </c>
      <c r="EY9" s="29">
        <v>0</v>
      </c>
      <c r="EZ9" s="29">
        <v>0</v>
      </c>
      <c r="FA9" s="29">
        <v>0</v>
      </c>
      <c r="FB9" s="29">
        <f t="shared" si="9"/>
        <v>0</v>
      </c>
      <c r="FC9" s="29">
        <v>0</v>
      </c>
      <c r="FD9" s="29">
        <v>0</v>
      </c>
      <c r="FE9" s="29">
        <v>0</v>
      </c>
      <c r="FF9" s="29">
        <v>0</v>
      </c>
      <c r="FG9" s="29">
        <v>0</v>
      </c>
      <c r="FH9" s="29">
        <v>0</v>
      </c>
      <c r="FK9" s="29">
        <v>0</v>
      </c>
      <c r="FN9" s="29">
        <v>0</v>
      </c>
      <c r="FO9" s="29">
        <v>0</v>
      </c>
      <c r="FQ9" s="29">
        <v>0</v>
      </c>
      <c r="FT9" s="29">
        <v>0</v>
      </c>
      <c r="FU9" s="29">
        <v>0</v>
      </c>
      <c r="FV9" s="29">
        <v>0</v>
      </c>
      <c r="FW9" s="29">
        <v>0</v>
      </c>
      <c r="FX9" s="29">
        <v>0</v>
      </c>
      <c r="FY9" s="29">
        <v>0</v>
      </c>
      <c r="FZ9" s="29">
        <v>0</v>
      </c>
      <c r="GA9" s="26"/>
      <c r="GB9" s="26"/>
      <c r="GC9" s="26"/>
      <c r="GD9" s="41" t="s">
        <v>235</v>
      </c>
      <c r="GF9" s="35"/>
      <c r="GG9" s="35"/>
    </row>
    <row r="10" spans="1:191" ht="15.6" x14ac:dyDescent="0.3">
      <c r="A10" s="26" t="s">
        <v>236</v>
      </c>
      <c r="B10" s="26">
        <v>73276</v>
      </c>
      <c r="C10" s="26"/>
      <c r="D10" s="26"/>
      <c r="E10" s="26"/>
      <c r="F10" s="26"/>
      <c r="G10" s="26"/>
      <c r="H10" s="26"/>
      <c r="I10" s="26"/>
      <c r="J10" s="26">
        <v>1</v>
      </c>
      <c r="K10" s="26" t="s">
        <v>237</v>
      </c>
      <c r="L10" s="26" t="s">
        <v>238</v>
      </c>
      <c r="M10" s="27" t="s">
        <v>239</v>
      </c>
      <c r="N10" s="26" t="s">
        <v>203</v>
      </c>
      <c r="O10" s="27">
        <v>0.75277777777777777</v>
      </c>
      <c r="P10" s="28">
        <v>46131</v>
      </c>
      <c r="Q10" s="29">
        <f t="shared" si="0"/>
        <v>0</v>
      </c>
      <c r="R10" s="29">
        <f t="shared" si="0"/>
        <v>0</v>
      </c>
      <c r="S10" s="29">
        <v>0</v>
      </c>
      <c r="T10" s="29">
        <v>0</v>
      </c>
      <c r="U10" s="29">
        <v>0</v>
      </c>
      <c r="V10" s="29">
        <v>0</v>
      </c>
      <c r="W10" s="29">
        <v>0</v>
      </c>
      <c r="X10" s="29">
        <v>0</v>
      </c>
      <c r="Y10" s="29">
        <v>0</v>
      </c>
      <c r="Z10" s="29">
        <v>0</v>
      </c>
      <c r="AA10" s="29">
        <v>0</v>
      </c>
      <c r="AB10" s="29">
        <v>0</v>
      </c>
      <c r="AC10" s="29">
        <v>0</v>
      </c>
      <c r="AD10" s="29">
        <v>0</v>
      </c>
      <c r="AF10" s="29">
        <v>0</v>
      </c>
      <c r="AH10" s="29">
        <v>0</v>
      </c>
      <c r="AI10" s="29">
        <v>0</v>
      </c>
      <c r="AJ10" s="29">
        <v>0</v>
      </c>
      <c r="AK10" s="29">
        <v>0</v>
      </c>
      <c r="AL10" s="29">
        <v>0</v>
      </c>
      <c r="AM10" s="29">
        <v>0</v>
      </c>
      <c r="AN10" s="29">
        <f t="shared" si="1"/>
        <v>0</v>
      </c>
      <c r="AO10" s="29">
        <f t="shared" si="1"/>
        <v>0</v>
      </c>
      <c r="AP10" s="29">
        <v>0</v>
      </c>
      <c r="AR10" s="29">
        <v>0</v>
      </c>
      <c r="AS10" s="29">
        <v>0</v>
      </c>
      <c r="AT10" s="29">
        <v>0</v>
      </c>
      <c r="AU10" s="29">
        <v>0</v>
      </c>
      <c r="AV10" s="29">
        <v>0</v>
      </c>
      <c r="AW10" s="29">
        <v>0</v>
      </c>
      <c r="AX10" s="29">
        <f t="shared" si="2"/>
        <v>0</v>
      </c>
      <c r="AY10" s="29">
        <f t="shared" si="2"/>
        <v>0</v>
      </c>
      <c r="AZ10" s="29">
        <v>0</v>
      </c>
      <c r="BD10" s="29">
        <v>0</v>
      </c>
      <c r="BE10" s="29">
        <v>0</v>
      </c>
      <c r="BF10" s="29">
        <v>0</v>
      </c>
      <c r="BG10" s="29">
        <v>0</v>
      </c>
      <c r="BH10" s="29">
        <f t="shared" si="3"/>
        <v>0</v>
      </c>
      <c r="BI10" s="29">
        <f t="shared" si="3"/>
        <v>0</v>
      </c>
      <c r="BJ10" s="29">
        <v>0</v>
      </c>
      <c r="BN10" s="29">
        <v>0</v>
      </c>
      <c r="BQ10" s="29">
        <v>0</v>
      </c>
      <c r="BT10" s="29">
        <v>0</v>
      </c>
      <c r="BW10" s="29">
        <v>0</v>
      </c>
      <c r="BZ10" s="29">
        <v>0</v>
      </c>
      <c r="CC10" s="29">
        <v>0</v>
      </c>
      <c r="CF10" s="29">
        <v>0</v>
      </c>
      <c r="CL10" s="29">
        <v>0</v>
      </c>
      <c r="CM10" s="29">
        <v>0</v>
      </c>
      <c r="CN10" s="29">
        <v>0</v>
      </c>
      <c r="CO10" s="29">
        <v>0</v>
      </c>
      <c r="CP10" s="29">
        <f t="shared" si="4"/>
        <v>0</v>
      </c>
      <c r="CQ10" s="29">
        <f t="shared" si="4"/>
        <v>0</v>
      </c>
      <c r="CR10" s="29">
        <v>0</v>
      </c>
      <c r="CV10" s="29">
        <v>0</v>
      </c>
      <c r="CW10" s="29">
        <v>0</v>
      </c>
      <c r="CX10" s="29">
        <v>0</v>
      </c>
      <c r="CY10" s="29">
        <v>0</v>
      </c>
      <c r="CZ10" s="29">
        <f t="shared" si="5"/>
        <v>0</v>
      </c>
      <c r="DA10" s="29">
        <f t="shared" si="5"/>
        <v>0</v>
      </c>
      <c r="DB10" s="29">
        <v>0</v>
      </c>
      <c r="DC10" s="29">
        <v>0</v>
      </c>
      <c r="DF10" s="29">
        <v>0</v>
      </c>
      <c r="DG10" s="29">
        <v>0</v>
      </c>
      <c r="DH10" s="29">
        <v>0</v>
      </c>
      <c r="DK10" s="29">
        <v>0</v>
      </c>
      <c r="DL10" s="29">
        <v>0</v>
      </c>
      <c r="DM10" s="29">
        <v>0</v>
      </c>
      <c r="DN10" s="29">
        <v>0</v>
      </c>
      <c r="DO10" s="29">
        <f t="shared" si="6"/>
        <v>0</v>
      </c>
      <c r="DP10" s="29">
        <f t="shared" si="6"/>
        <v>0</v>
      </c>
      <c r="DQ10" s="29">
        <v>0</v>
      </c>
      <c r="DR10" s="29">
        <v>0</v>
      </c>
      <c r="DU10" s="29">
        <v>0</v>
      </c>
      <c r="DV10" s="29">
        <v>0</v>
      </c>
      <c r="DW10" s="29">
        <v>0</v>
      </c>
      <c r="DX10" s="29">
        <v>0</v>
      </c>
      <c r="DY10" s="29">
        <f t="shared" si="7"/>
        <v>0</v>
      </c>
      <c r="DZ10" s="29">
        <f t="shared" si="7"/>
        <v>0</v>
      </c>
      <c r="EA10" s="29">
        <v>0</v>
      </c>
      <c r="EC10" s="29">
        <v>0</v>
      </c>
      <c r="EE10" s="29">
        <v>0</v>
      </c>
      <c r="EF10" s="29">
        <v>0</v>
      </c>
      <c r="EH10" s="29">
        <v>0</v>
      </c>
      <c r="EI10" s="29">
        <f t="shared" si="8"/>
        <v>0</v>
      </c>
      <c r="EJ10" s="29">
        <f t="shared" si="8"/>
        <v>0</v>
      </c>
      <c r="EK10" s="29">
        <v>0</v>
      </c>
      <c r="EL10" s="29">
        <v>0</v>
      </c>
      <c r="EM10" s="29">
        <v>0</v>
      </c>
      <c r="EN10" s="29">
        <v>0</v>
      </c>
      <c r="EO10" s="29">
        <v>0</v>
      </c>
      <c r="EP10" s="29">
        <v>0</v>
      </c>
      <c r="EQ10" s="29">
        <v>0</v>
      </c>
      <c r="ES10" s="29">
        <v>0</v>
      </c>
      <c r="ET10" s="29">
        <v>0</v>
      </c>
      <c r="EU10" s="29">
        <v>0</v>
      </c>
      <c r="EV10" s="29">
        <v>0</v>
      </c>
      <c r="EW10" s="29">
        <v>0</v>
      </c>
      <c r="EX10" s="29">
        <v>0</v>
      </c>
      <c r="EY10" s="29">
        <v>0</v>
      </c>
      <c r="EZ10" s="29">
        <v>0</v>
      </c>
      <c r="FA10" s="29">
        <v>0</v>
      </c>
      <c r="FB10" s="29">
        <f t="shared" si="9"/>
        <v>0</v>
      </c>
      <c r="FC10" s="29">
        <v>0</v>
      </c>
      <c r="FD10" s="29">
        <v>0</v>
      </c>
      <c r="FE10" s="29">
        <v>0</v>
      </c>
      <c r="FF10" s="29">
        <v>0</v>
      </c>
      <c r="FG10" s="29">
        <v>0</v>
      </c>
      <c r="FH10" s="29">
        <v>0</v>
      </c>
      <c r="FK10" s="29">
        <v>0</v>
      </c>
      <c r="FN10" s="29">
        <v>0</v>
      </c>
      <c r="FO10" s="29">
        <v>0</v>
      </c>
      <c r="FQ10" s="29">
        <v>0</v>
      </c>
      <c r="FT10" s="29">
        <v>0</v>
      </c>
      <c r="FU10" s="29">
        <v>0</v>
      </c>
      <c r="FV10" s="29">
        <v>0</v>
      </c>
      <c r="FW10" s="29">
        <v>0</v>
      </c>
      <c r="FX10" s="29">
        <v>0</v>
      </c>
      <c r="FY10" s="29">
        <v>1</v>
      </c>
      <c r="FZ10" s="29">
        <v>0</v>
      </c>
      <c r="GA10" s="26"/>
      <c r="GB10" s="26"/>
      <c r="GC10" s="26"/>
      <c r="GD10" s="23" t="s">
        <v>240</v>
      </c>
      <c r="GF10" s="35"/>
      <c r="GG10" s="35"/>
    </row>
    <row r="11" spans="1:191" ht="15.6" x14ac:dyDescent="0.3">
      <c r="A11" s="26" t="s">
        <v>241</v>
      </c>
      <c r="B11" s="26">
        <v>72111</v>
      </c>
      <c r="C11" s="26"/>
      <c r="D11" s="26"/>
      <c r="E11" s="26"/>
      <c r="F11" s="26"/>
      <c r="G11" s="26"/>
      <c r="H11" s="26"/>
      <c r="I11" s="26"/>
      <c r="J11" s="26">
        <v>1</v>
      </c>
      <c r="K11" s="25" t="s">
        <v>242</v>
      </c>
      <c r="L11" s="25" t="s">
        <v>243</v>
      </c>
      <c r="M11" s="26" t="s">
        <v>244</v>
      </c>
      <c r="N11" s="26" t="s">
        <v>245</v>
      </c>
      <c r="O11" s="27">
        <v>0.8979166666666667</v>
      </c>
      <c r="P11" s="28">
        <v>46131</v>
      </c>
      <c r="Q11" s="29">
        <f t="shared" si="0"/>
        <v>0</v>
      </c>
      <c r="R11" s="29">
        <f t="shared" si="0"/>
        <v>0</v>
      </c>
      <c r="S11" s="29">
        <v>0</v>
      </c>
      <c r="T11" s="29">
        <v>0</v>
      </c>
      <c r="U11" s="29">
        <v>0</v>
      </c>
      <c r="V11" s="29">
        <v>0</v>
      </c>
      <c r="W11" s="29">
        <v>0</v>
      </c>
      <c r="X11" s="29">
        <v>0</v>
      </c>
      <c r="Y11" s="29">
        <v>0</v>
      </c>
      <c r="Z11" s="29">
        <v>0</v>
      </c>
      <c r="AA11" s="29">
        <v>0</v>
      </c>
      <c r="AB11" s="29">
        <v>0</v>
      </c>
      <c r="AC11" s="29">
        <v>0</v>
      </c>
      <c r="AD11" s="29">
        <v>0</v>
      </c>
      <c r="AF11" s="29">
        <v>0</v>
      </c>
      <c r="AH11" s="29">
        <v>0</v>
      </c>
      <c r="AI11" s="29">
        <v>0</v>
      </c>
      <c r="AJ11" s="29">
        <v>0</v>
      </c>
      <c r="AK11" s="29">
        <v>0</v>
      </c>
      <c r="AL11" s="29">
        <v>0</v>
      </c>
      <c r="AM11" s="29">
        <v>0</v>
      </c>
      <c r="AN11" s="29">
        <f t="shared" si="1"/>
        <v>0</v>
      </c>
      <c r="AO11" s="29">
        <f t="shared" si="1"/>
        <v>0</v>
      </c>
      <c r="AP11" s="29">
        <v>0</v>
      </c>
      <c r="AR11" s="29">
        <v>0</v>
      </c>
      <c r="AS11" s="29">
        <v>0</v>
      </c>
      <c r="AT11" s="29">
        <v>0</v>
      </c>
      <c r="AU11" s="29">
        <v>0</v>
      </c>
      <c r="AV11" s="29">
        <v>0</v>
      </c>
      <c r="AW11" s="29">
        <v>0</v>
      </c>
      <c r="AX11" s="29">
        <f t="shared" si="2"/>
        <v>0</v>
      </c>
      <c r="AY11" s="29">
        <f t="shared" si="2"/>
        <v>0</v>
      </c>
      <c r="AZ11" s="29">
        <v>0</v>
      </c>
      <c r="BD11" s="29">
        <v>0</v>
      </c>
      <c r="BE11" s="29">
        <v>0</v>
      </c>
      <c r="BF11" s="29">
        <v>0</v>
      </c>
      <c r="BG11" s="29">
        <v>0</v>
      </c>
      <c r="BH11" s="29">
        <f t="shared" si="3"/>
        <v>0</v>
      </c>
      <c r="BI11" s="29">
        <f t="shared" si="3"/>
        <v>0</v>
      </c>
      <c r="BJ11" s="29">
        <v>0</v>
      </c>
      <c r="BN11" s="29">
        <v>0</v>
      </c>
      <c r="BQ11" s="29">
        <v>0</v>
      </c>
      <c r="BT11" s="29">
        <v>0</v>
      </c>
      <c r="BW11" s="29">
        <v>0</v>
      </c>
      <c r="BZ11" s="29">
        <v>0</v>
      </c>
      <c r="CC11" s="29">
        <v>0</v>
      </c>
      <c r="CF11" s="29">
        <v>0</v>
      </c>
      <c r="CL11" s="29">
        <v>0</v>
      </c>
      <c r="CM11" s="29">
        <v>0</v>
      </c>
      <c r="CN11" s="29">
        <v>0</v>
      </c>
      <c r="CO11" s="29">
        <v>0</v>
      </c>
      <c r="CP11" s="29">
        <f t="shared" si="4"/>
        <v>0</v>
      </c>
      <c r="CQ11" s="29">
        <f t="shared" si="4"/>
        <v>0</v>
      </c>
      <c r="CR11" s="29">
        <v>0</v>
      </c>
      <c r="CV11" s="29">
        <v>0</v>
      </c>
      <c r="CW11" s="29">
        <v>0</v>
      </c>
      <c r="CX11" s="29">
        <v>0</v>
      </c>
      <c r="CY11" s="29">
        <v>0</v>
      </c>
      <c r="CZ11" s="29">
        <f t="shared" si="5"/>
        <v>0</v>
      </c>
      <c r="DA11" s="29">
        <f t="shared" si="5"/>
        <v>0</v>
      </c>
      <c r="DB11" s="29">
        <v>0</v>
      </c>
      <c r="DC11" s="29">
        <v>0</v>
      </c>
      <c r="DF11" s="29">
        <v>0</v>
      </c>
      <c r="DG11" s="29">
        <v>0</v>
      </c>
      <c r="DH11" s="29">
        <v>0</v>
      </c>
      <c r="DK11" s="29">
        <v>0</v>
      </c>
      <c r="DL11" s="29">
        <v>0</v>
      </c>
      <c r="DM11" s="29">
        <v>0</v>
      </c>
      <c r="DN11" s="29">
        <v>0</v>
      </c>
      <c r="DO11" s="29">
        <f t="shared" si="6"/>
        <v>0</v>
      </c>
      <c r="DP11" s="29">
        <f t="shared" si="6"/>
        <v>0</v>
      </c>
      <c r="DQ11" s="29">
        <v>0</v>
      </c>
      <c r="DR11" s="29">
        <v>0</v>
      </c>
      <c r="DU11" s="29">
        <v>0</v>
      </c>
      <c r="DV11" s="29">
        <v>0</v>
      </c>
      <c r="DW11" s="29">
        <v>0</v>
      </c>
      <c r="DX11" s="29">
        <v>0</v>
      </c>
      <c r="DY11" s="29">
        <f t="shared" si="7"/>
        <v>0</v>
      </c>
      <c r="DZ11" s="29">
        <f t="shared" si="7"/>
        <v>0</v>
      </c>
      <c r="EA11" s="29">
        <v>0</v>
      </c>
      <c r="EC11" s="29">
        <v>0</v>
      </c>
      <c r="EE11" s="29">
        <v>0</v>
      </c>
      <c r="EF11" s="29">
        <v>0</v>
      </c>
      <c r="EH11" s="29">
        <v>0</v>
      </c>
      <c r="EI11" s="29">
        <f t="shared" si="8"/>
        <v>0</v>
      </c>
      <c r="EJ11" s="29">
        <f t="shared" si="8"/>
        <v>0</v>
      </c>
      <c r="EK11" s="29">
        <v>0</v>
      </c>
      <c r="EL11" s="29">
        <v>0</v>
      </c>
      <c r="EM11" s="29">
        <v>0</v>
      </c>
      <c r="EN11" s="29">
        <v>0</v>
      </c>
      <c r="EO11" s="29">
        <v>0</v>
      </c>
      <c r="EP11" s="29">
        <v>0</v>
      </c>
      <c r="EQ11" s="29">
        <v>0</v>
      </c>
      <c r="ES11" s="29">
        <v>0</v>
      </c>
      <c r="ET11" s="29">
        <v>0</v>
      </c>
      <c r="EU11" s="29">
        <v>0</v>
      </c>
      <c r="EV11" s="29">
        <v>0</v>
      </c>
      <c r="EW11" s="29">
        <v>0</v>
      </c>
      <c r="EX11" s="29">
        <v>0</v>
      </c>
      <c r="EY11" s="29">
        <v>0</v>
      </c>
      <c r="EZ11" s="29">
        <v>0</v>
      </c>
      <c r="FA11" s="29">
        <v>0</v>
      </c>
      <c r="FB11" s="29">
        <f t="shared" si="9"/>
        <v>0</v>
      </c>
      <c r="FC11" s="29">
        <v>0</v>
      </c>
      <c r="FD11" s="29">
        <v>0</v>
      </c>
      <c r="FE11" s="29">
        <v>0</v>
      </c>
      <c r="FF11" s="29">
        <v>0</v>
      </c>
      <c r="FG11" s="29">
        <v>0</v>
      </c>
      <c r="FH11" s="29">
        <v>0</v>
      </c>
      <c r="FK11" s="29">
        <v>0</v>
      </c>
      <c r="FN11" s="29">
        <v>0</v>
      </c>
      <c r="FO11" s="29">
        <v>0</v>
      </c>
      <c r="FQ11" s="29">
        <v>0</v>
      </c>
      <c r="FT11" s="29">
        <v>0</v>
      </c>
      <c r="FU11" s="29">
        <v>0</v>
      </c>
      <c r="FV11" s="29">
        <v>0</v>
      </c>
      <c r="FW11" s="29">
        <v>0</v>
      </c>
      <c r="FX11" s="29">
        <v>0</v>
      </c>
      <c r="FY11" s="29">
        <v>0</v>
      </c>
      <c r="FZ11" s="29">
        <v>0</v>
      </c>
      <c r="GA11" s="42"/>
      <c r="GB11" s="42"/>
      <c r="GC11" s="26"/>
      <c r="GD11" s="43" t="s">
        <v>246</v>
      </c>
      <c r="GF11" s="35"/>
      <c r="GG11" s="35"/>
    </row>
    <row r="12" spans="1:191" ht="15.6" x14ac:dyDescent="0.3">
      <c r="A12" s="26" t="s">
        <v>247</v>
      </c>
      <c r="B12" s="26">
        <v>71111</v>
      </c>
      <c r="J12" s="26">
        <v>1</v>
      </c>
      <c r="K12" s="26" t="s">
        <v>248</v>
      </c>
      <c r="L12" s="26" t="s">
        <v>249</v>
      </c>
      <c r="M12" s="26" t="s">
        <v>250</v>
      </c>
      <c r="N12" s="26" t="s">
        <v>251</v>
      </c>
      <c r="O12" s="27">
        <v>6.2499999999999995E-3</v>
      </c>
      <c r="P12" s="28">
        <v>46133</v>
      </c>
      <c r="Q12" s="29">
        <f t="shared" si="0"/>
        <v>0</v>
      </c>
      <c r="R12" s="29">
        <f t="shared" si="0"/>
        <v>0</v>
      </c>
      <c r="S12" s="29">
        <v>0</v>
      </c>
      <c r="T12" s="29">
        <v>0</v>
      </c>
      <c r="U12" s="29">
        <v>0</v>
      </c>
      <c r="V12" s="29">
        <v>0</v>
      </c>
      <c r="W12" s="29">
        <v>0</v>
      </c>
      <c r="X12" s="29">
        <v>0</v>
      </c>
      <c r="Y12" s="29">
        <v>0</v>
      </c>
      <c r="Z12" s="29">
        <v>0</v>
      </c>
      <c r="AA12" s="29">
        <v>0</v>
      </c>
      <c r="AB12" s="29">
        <v>0</v>
      </c>
      <c r="AC12" s="29">
        <v>0</v>
      </c>
      <c r="AD12" s="29">
        <v>0</v>
      </c>
      <c r="AF12" s="29">
        <v>0</v>
      </c>
      <c r="AH12" s="29">
        <v>0</v>
      </c>
      <c r="AI12" s="29">
        <v>0</v>
      </c>
      <c r="AJ12" s="29">
        <v>0</v>
      </c>
      <c r="AK12" s="29">
        <v>0</v>
      </c>
      <c r="AL12" s="29">
        <v>0</v>
      </c>
      <c r="AM12" s="29">
        <v>0</v>
      </c>
      <c r="AN12" s="29">
        <f t="shared" si="1"/>
        <v>0</v>
      </c>
      <c r="AO12" s="29">
        <f t="shared" si="1"/>
        <v>0</v>
      </c>
      <c r="AP12" s="29">
        <v>0</v>
      </c>
      <c r="AR12" s="29">
        <v>0</v>
      </c>
      <c r="AS12" s="29">
        <v>0</v>
      </c>
      <c r="AT12" s="29">
        <v>0</v>
      </c>
      <c r="AU12" s="29">
        <v>0</v>
      </c>
      <c r="AV12" s="29">
        <v>0</v>
      </c>
      <c r="AW12" s="29">
        <v>0</v>
      </c>
      <c r="AX12" s="29">
        <f t="shared" si="2"/>
        <v>0</v>
      </c>
      <c r="AY12" s="29">
        <f t="shared" si="2"/>
        <v>0</v>
      </c>
      <c r="AZ12" s="29">
        <v>0</v>
      </c>
      <c r="BD12" s="29">
        <v>0</v>
      </c>
      <c r="BE12" s="29">
        <v>0</v>
      </c>
      <c r="BF12" s="29">
        <v>0</v>
      </c>
      <c r="BG12" s="29">
        <v>0</v>
      </c>
      <c r="BH12" s="29">
        <f t="shared" si="3"/>
        <v>0</v>
      </c>
      <c r="BI12" s="29">
        <f t="shared" si="3"/>
        <v>0</v>
      </c>
      <c r="BJ12" s="29">
        <v>0</v>
      </c>
      <c r="BN12" s="29">
        <v>0</v>
      </c>
      <c r="BQ12" s="29">
        <v>0</v>
      </c>
      <c r="BT12" s="29">
        <v>0</v>
      </c>
      <c r="BW12" s="29">
        <v>0</v>
      </c>
      <c r="BZ12" s="29">
        <v>0</v>
      </c>
      <c r="CC12" s="29">
        <v>0</v>
      </c>
      <c r="CF12" s="29">
        <v>0</v>
      </c>
      <c r="CL12" s="29">
        <v>0</v>
      </c>
      <c r="CM12" s="29">
        <v>0</v>
      </c>
      <c r="CN12" s="29">
        <v>0</v>
      </c>
      <c r="CO12" s="29">
        <v>0</v>
      </c>
      <c r="CP12" s="29">
        <f t="shared" si="4"/>
        <v>0</v>
      </c>
      <c r="CQ12" s="29">
        <f t="shared" si="4"/>
        <v>0</v>
      </c>
      <c r="CR12" s="29">
        <v>0</v>
      </c>
      <c r="CV12" s="29">
        <v>0</v>
      </c>
      <c r="CW12" s="29">
        <v>0</v>
      </c>
      <c r="CX12" s="29">
        <v>0</v>
      </c>
      <c r="CY12" s="29">
        <v>0</v>
      </c>
      <c r="CZ12" s="29">
        <f t="shared" si="5"/>
        <v>0</v>
      </c>
      <c r="DA12" s="29">
        <f t="shared" si="5"/>
        <v>0</v>
      </c>
      <c r="DB12" s="29">
        <v>0</v>
      </c>
      <c r="DC12" s="29">
        <v>0</v>
      </c>
      <c r="DF12" s="29">
        <v>0</v>
      </c>
      <c r="DG12" s="29">
        <v>0</v>
      </c>
      <c r="DH12" s="29">
        <v>0</v>
      </c>
      <c r="DK12" s="29">
        <v>0</v>
      </c>
      <c r="DL12" s="29">
        <v>0</v>
      </c>
      <c r="DM12" s="29">
        <v>0</v>
      </c>
      <c r="DN12" s="29">
        <v>0</v>
      </c>
      <c r="DO12" s="29">
        <f t="shared" si="6"/>
        <v>0</v>
      </c>
      <c r="DP12" s="29">
        <f t="shared" si="6"/>
        <v>0</v>
      </c>
      <c r="DQ12" s="29">
        <v>0</v>
      </c>
      <c r="DR12" s="29">
        <v>0</v>
      </c>
      <c r="DU12" s="29">
        <v>0</v>
      </c>
      <c r="DV12" s="29">
        <v>0</v>
      </c>
      <c r="DW12" s="29">
        <v>0</v>
      </c>
      <c r="DX12" s="29">
        <v>0</v>
      </c>
      <c r="DY12" s="29">
        <f t="shared" si="7"/>
        <v>0</v>
      </c>
      <c r="DZ12" s="29">
        <f t="shared" si="7"/>
        <v>0</v>
      </c>
      <c r="EA12" s="29">
        <v>0</v>
      </c>
      <c r="EC12" s="29">
        <v>0</v>
      </c>
      <c r="EE12" s="29">
        <v>0</v>
      </c>
      <c r="EF12" s="29">
        <v>0</v>
      </c>
      <c r="EH12" s="29">
        <v>0</v>
      </c>
      <c r="EI12" s="29">
        <f t="shared" si="8"/>
        <v>0</v>
      </c>
      <c r="EJ12" s="29">
        <f t="shared" si="8"/>
        <v>0</v>
      </c>
      <c r="EK12" s="29">
        <v>0</v>
      </c>
      <c r="EL12" s="29">
        <v>0</v>
      </c>
      <c r="EM12" s="29">
        <v>0</v>
      </c>
      <c r="EN12" s="29">
        <v>0</v>
      </c>
      <c r="EO12" s="29">
        <v>0</v>
      </c>
      <c r="EP12" s="29">
        <v>0</v>
      </c>
      <c r="EQ12" s="29">
        <v>0</v>
      </c>
      <c r="ES12" s="29">
        <v>0</v>
      </c>
      <c r="ET12" s="29">
        <v>0</v>
      </c>
      <c r="EU12" s="29">
        <v>0</v>
      </c>
      <c r="EV12" s="29">
        <v>0</v>
      </c>
      <c r="EW12" s="29">
        <v>0</v>
      </c>
      <c r="EX12" s="29">
        <v>0</v>
      </c>
      <c r="EY12" s="29">
        <v>0</v>
      </c>
      <c r="EZ12" s="29">
        <v>0</v>
      </c>
      <c r="FA12" s="29">
        <v>0</v>
      </c>
      <c r="FB12" s="29">
        <f t="shared" si="9"/>
        <v>0</v>
      </c>
      <c r="FC12" s="29">
        <v>0</v>
      </c>
      <c r="FD12" s="29">
        <v>0</v>
      </c>
      <c r="FE12" s="29">
        <v>0</v>
      </c>
      <c r="FF12" s="29">
        <v>0</v>
      </c>
      <c r="FG12" s="29">
        <v>0</v>
      </c>
      <c r="FH12" s="29">
        <v>0</v>
      </c>
      <c r="FK12" s="29">
        <v>0</v>
      </c>
      <c r="FN12" s="29">
        <v>0</v>
      </c>
      <c r="FO12" s="29">
        <v>0</v>
      </c>
      <c r="FQ12" s="29">
        <v>0</v>
      </c>
      <c r="FT12" s="29">
        <v>0</v>
      </c>
      <c r="FU12" s="29">
        <v>0</v>
      </c>
      <c r="FV12" s="29">
        <v>0</v>
      </c>
      <c r="FW12" s="29">
        <v>0</v>
      </c>
      <c r="FX12" s="29">
        <v>0</v>
      </c>
      <c r="FY12" s="29">
        <v>0</v>
      </c>
      <c r="FZ12" s="29">
        <v>0</v>
      </c>
      <c r="GA12" s="26"/>
      <c r="GB12" s="26"/>
      <c r="GC12" s="26" t="s">
        <v>210</v>
      </c>
      <c r="GD12" s="41" t="s">
        <v>252</v>
      </c>
      <c r="GE12" s="26"/>
      <c r="GF12" s="41"/>
      <c r="GG12" s="41"/>
    </row>
    <row r="13" spans="1:191" ht="15.6" x14ac:dyDescent="0.3">
      <c r="A13" s="25" t="s">
        <v>253</v>
      </c>
      <c r="B13" s="25">
        <v>62299</v>
      </c>
      <c r="C13" s="25"/>
      <c r="D13" s="25"/>
      <c r="E13" s="25"/>
      <c r="F13" s="25"/>
      <c r="G13" s="25"/>
      <c r="H13" s="25"/>
      <c r="I13" s="25"/>
      <c r="J13" s="25">
        <v>2</v>
      </c>
      <c r="K13" s="26" t="s">
        <v>254</v>
      </c>
      <c r="L13" s="26" t="s">
        <v>255</v>
      </c>
      <c r="M13" s="26" t="s">
        <v>256</v>
      </c>
      <c r="N13" s="26" t="s">
        <v>257</v>
      </c>
      <c r="O13" s="27">
        <v>0.76736111111111116</v>
      </c>
      <c r="P13" s="28">
        <v>46154</v>
      </c>
      <c r="Q13" s="29">
        <f t="shared" si="0"/>
        <v>0</v>
      </c>
      <c r="R13" s="29">
        <f t="shared" si="0"/>
        <v>0</v>
      </c>
      <c r="S13" s="29">
        <v>0</v>
      </c>
      <c r="T13" s="29">
        <v>0</v>
      </c>
      <c r="U13" s="29">
        <v>0</v>
      </c>
      <c r="V13" s="29">
        <v>0</v>
      </c>
      <c r="W13" s="29">
        <v>0</v>
      </c>
      <c r="X13" s="29">
        <v>0</v>
      </c>
      <c r="Y13" s="29">
        <v>0</v>
      </c>
      <c r="Z13" s="29">
        <v>0</v>
      </c>
      <c r="AA13" s="29">
        <v>0</v>
      </c>
      <c r="AB13" s="29">
        <v>0</v>
      </c>
      <c r="AC13" s="29">
        <v>0</v>
      </c>
      <c r="AD13" s="29">
        <v>0</v>
      </c>
      <c r="AF13" s="29">
        <v>0</v>
      </c>
      <c r="AH13" s="29">
        <v>0</v>
      </c>
      <c r="AI13" s="29">
        <v>0</v>
      </c>
      <c r="AJ13" s="29">
        <v>0</v>
      </c>
      <c r="AK13" s="29">
        <v>0</v>
      </c>
      <c r="AL13" s="29">
        <v>0</v>
      </c>
      <c r="AM13" s="29">
        <v>0</v>
      </c>
      <c r="AN13" s="29">
        <f t="shared" si="1"/>
        <v>0</v>
      </c>
      <c r="AO13" s="29">
        <f t="shared" si="1"/>
        <v>0</v>
      </c>
      <c r="AP13" s="29">
        <v>0</v>
      </c>
      <c r="AR13" s="29">
        <v>0</v>
      </c>
      <c r="AS13" s="29">
        <v>0</v>
      </c>
      <c r="AT13" s="29">
        <v>0</v>
      </c>
      <c r="AU13" s="29">
        <v>0</v>
      </c>
      <c r="AV13" s="29">
        <v>0</v>
      </c>
      <c r="AW13" s="29">
        <v>0</v>
      </c>
      <c r="AX13" s="29">
        <f t="shared" si="2"/>
        <v>0</v>
      </c>
      <c r="AY13" s="29">
        <f t="shared" si="2"/>
        <v>0</v>
      </c>
      <c r="AZ13" s="29">
        <v>0</v>
      </c>
      <c r="BD13" s="29">
        <v>0</v>
      </c>
      <c r="BE13" s="29">
        <v>0</v>
      </c>
      <c r="BF13" s="29">
        <v>0</v>
      </c>
      <c r="BG13" s="29">
        <v>0</v>
      </c>
      <c r="BH13" s="29">
        <f t="shared" si="3"/>
        <v>0</v>
      </c>
      <c r="BI13" s="29">
        <f t="shared" si="3"/>
        <v>0</v>
      </c>
      <c r="BJ13" s="29">
        <v>0</v>
      </c>
      <c r="BN13" s="29">
        <v>0</v>
      </c>
      <c r="BQ13" s="29">
        <v>0</v>
      </c>
      <c r="BT13" s="29">
        <v>0</v>
      </c>
      <c r="BW13" s="29">
        <v>0</v>
      </c>
      <c r="BZ13" s="29">
        <v>0</v>
      </c>
      <c r="CC13" s="29">
        <v>0</v>
      </c>
      <c r="CF13" s="29">
        <v>0</v>
      </c>
      <c r="CL13" s="29">
        <v>0</v>
      </c>
      <c r="CM13" s="29">
        <v>0</v>
      </c>
      <c r="CN13" s="29">
        <v>0</v>
      </c>
      <c r="CO13" s="29">
        <v>0</v>
      </c>
      <c r="CP13" s="29">
        <f t="shared" si="4"/>
        <v>0</v>
      </c>
      <c r="CQ13" s="29">
        <f t="shared" si="4"/>
        <v>0</v>
      </c>
      <c r="CR13" s="29">
        <v>0</v>
      </c>
      <c r="CV13" s="29">
        <v>0</v>
      </c>
      <c r="CW13" s="29">
        <v>0</v>
      </c>
      <c r="CX13" s="29">
        <v>0</v>
      </c>
      <c r="CY13" s="29">
        <v>0</v>
      </c>
      <c r="CZ13" s="29">
        <f t="shared" si="5"/>
        <v>0</v>
      </c>
      <c r="DA13" s="29">
        <f t="shared" si="5"/>
        <v>0</v>
      </c>
      <c r="DB13" s="29">
        <v>0</v>
      </c>
      <c r="DC13" s="29">
        <v>0</v>
      </c>
      <c r="DF13" s="29">
        <v>0</v>
      </c>
      <c r="DG13" s="29">
        <v>0</v>
      </c>
      <c r="DH13" s="29">
        <v>0</v>
      </c>
      <c r="DK13" s="29">
        <v>0</v>
      </c>
      <c r="DL13" s="29">
        <v>0</v>
      </c>
      <c r="DM13" s="29">
        <v>0</v>
      </c>
      <c r="DN13" s="29">
        <v>0</v>
      </c>
      <c r="DO13" s="29">
        <f t="shared" si="6"/>
        <v>0</v>
      </c>
      <c r="DP13" s="29">
        <f t="shared" si="6"/>
        <v>0</v>
      </c>
      <c r="DQ13" s="29">
        <v>0</v>
      </c>
      <c r="DR13" s="29">
        <v>0</v>
      </c>
      <c r="DU13" s="29">
        <v>0</v>
      </c>
      <c r="DV13" s="29">
        <v>0</v>
      </c>
      <c r="DW13" s="29">
        <v>0</v>
      </c>
      <c r="DX13" s="29">
        <v>0</v>
      </c>
      <c r="DY13" s="29">
        <f t="shared" si="7"/>
        <v>0</v>
      </c>
      <c r="DZ13" s="29">
        <f t="shared" si="7"/>
        <v>0</v>
      </c>
      <c r="EA13" s="29">
        <v>0</v>
      </c>
      <c r="EC13" s="29">
        <v>0</v>
      </c>
      <c r="EE13" s="29">
        <v>0</v>
      </c>
      <c r="EF13" s="29">
        <v>0</v>
      </c>
      <c r="EH13" s="29">
        <v>0</v>
      </c>
      <c r="EI13" s="29">
        <f t="shared" si="8"/>
        <v>0</v>
      </c>
      <c r="EJ13" s="29">
        <f t="shared" si="8"/>
        <v>0</v>
      </c>
      <c r="EK13" s="29">
        <v>0</v>
      </c>
      <c r="EL13" s="29">
        <v>0</v>
      </c>
      <c r="EM13" s="29">
        <v>0</v>
      </c>
      <c r="EN13" s="29">
        <v>0</v>
      </c>
      <c r="EO13" s="29">
        <v>0</v>
      </c>
      <c r="EP13" s="29">
        <v>0</v>
      </c>
      <c r="EQ13" s="29">
        <v>0</v>
      </c>
      <c r="ES13" s="29">
        <v>0</v>
      </c>
      <c r="ET13" s="29">
        <v>0</v>
      </c>
      <c r="EU13" s="29">
        <v>0</v>
      </c>
      <c r="EV13" s="29">
        <v>0</v>
      </c>
      <c r="EW13" s="29">
        <v>0</v>
      </c>
      <c r="EX13" s="29">
        <v>0</v>
      </c>
      <c r="EY13" s="29">
        <v>0</v>
      </c>
      <c r="EZ13" s="29">
        <v>0</v>
      </c>
      <c r="FA13" s="29">
        <v>0</v>
      </c>
      <c r="FB13" s="29">
        <f t="shared" si="9"/>
        <v>0</v>
      </c>
      <c r="FC13" s="29">
        <v>0</v>
      </c>
      <c r="FD13" s="29">
        <v>0</v>
      </c>
      <c r="FE13" s="29">
        <v>0</v>
      </c>
      <c r="FF13" s="29">
        <v>0</v>
      </c>
      <c r="FG13" s="29">
        <v>0</v>
      </c>
      <c r="FH13" s="29">
        <v>0</v>
      </c>
      <c r="FK13" s="29">
        <v>0</v>
      </c>
      <c r="FN13" s="29">
        <v>0</v>
      </c>
      <c r="FO13" s="29">
        <v>0</v>
      </c>
      <c r="FQ13" s="29">
        <v>0</v>
      </c>
      <c r="FT13" s="29">
        <v>0</v>
      </c>
      <c r="FU13" s="29">
        <v>0</v>
      </c>
      <c r="FV13" s="29">
        <v>0</v>
      </c>
      <c r="FW13" s="29">
        <v>0</v>
      </c>
      <c r="FX13" s="29">
        <v>0</v>
      </c>
      <c r="FY13" s="29">
        <v>0</v>
      </c>
      <c r="FZ13" s="29">
        <v>0</v>
      </c>
      <c r="GA13" s="26" t="s">
        <v>258</v>
      </c>
      <c r="GB13" s="26" t="s">
        <v>259</v>
      </c>
      <c r="GC13" s="25" t="s">
        <v>260</v>
      </c>
      <c r="GD13" s="44" t="s">
        <v>261</v>
      </c>
      <c r="GE13" s="44"/>
      <c r="GF13" s="32"/>
      <c r="GG13" s="32"/>
    </row>
    <row r="14" spans="1:191" ht="15.6" x14ac:dyDescent="0.3">
      <c r="A14" s="25" t="s">
        <v>262</v>
      </c>
      <c r="B14" s="25">
        <v>62312</v>
      </c>
      <c r="C14" s="25"/>
      <c r="D14" s="25"/>
      <c r="E14" s="25"/>
      <c r="F14" s="25"/>
      <c r="G14" s="25"/>
      <c r="H14" s="25"/>
      <c r="I14" s="25"/>
      <c r="J14" s="25">
        <v>4</v>
      </c>
      <c r="K14" s="25" t="s">
        <v>263</v>
      </c>
      <c r="L14" s="25" t="s">
        <v>264</v>
      </c>
      <c r="M14" s="25" t="s">
        <v>265</v>
      </c>
      <c r="N14" s="25" t="s">
        <v>203</v>
      </c>
      <c r="O14" s="36">
        <v>0.3923611111111111</v>
      </c>
      <c r="P14" s="45">
        <v>46233</v>
      </c>
      <c r="Q14" s="29">
        <f t="shared" si="0"/>
        <v>0</v>
      </c>
      <c r="R14" s="29">
        <f t="shared" si="0"/>
        <v>0</v>
      </c>
      <c r="S14" s="29">
        <v>0</v>
      </c>
      <c r="T14" s="29">
        <v>0</v>
      </c>
      <c r="U14" s="29">
        <v>0</v>
      </c>
      <c r="V14" s="29">
        <v>0</v>
      </c>
      <c r="W14" s="29">
        <v>0</v>
      </c>
      <c r="X14" s="29">
        <v>0</v>
      </c>
      <c r="Y14" s="29">
        <v>0</v>
      </c>
      <c r="Z14" s="29">
        <v>0</v>
      </c>
      <c r="AA14" s="29">
        <v>0</v>
      </c>
      <c r="AB14" s="29">
        <v>0</v>
      </c>
      <c r="AC14" s="29">
        <v>0</v>
      </c>
      <c r="AD14" s="29">
        <v>0</v>
      </c>
      <c r="AF14" s="29">
        <v>0</v>
      </c>
      <c r="AH14" s="29">
        <v>0</v>
      </c>
      <c r="AI14" s="29">
        <v>0</v>
      </c>
      <c r="AJ14" s="29">
        <v>0</v>
      </c>
      <c r="AK14" s="29">
        <v>0</v>
      </c>
      <c r="AL14" s="29">
        <v>0</v>
      </c>
      <c r="AM14" s="29">
        <v>0</v>
      </c>
      <c r="AN14" s="29">
        <f t="shared" si="1"/>
        <v>0</v>
      </c>
      <c r="AO14" s="29">
        <f t="shared" si="1"/>
        <v>0</v>
      </c>
      <c r="AP14" s="29">
        <v>0</v>
      </c>
      <c r="AR14" s="29">
        <v>0</v>
      </c>
      <c r="AS14" s="29">
        <v>0</v>
      </c>
      <c r="AT14" s="29">
        <v>0</v>
      </c>
      <c r="AU14" s="29">
        <v>0</v>
      </c>
      <c r="AV14" s="29">
        <v>0</v>
      </c>
      <c r="AW14" s="29">
        <v>0</v>
      </c>
      <c r="AX14" s="29">
        <f t="shared" si="2"/>
        <v>0</v>
      </c>
      <c r="AY14" s="29">
        <f t="shared" si="2"/>
        <v>0</v>
      </c>
      <c r="AZ14" s="29">
        <v>0</v>
      </c>
      <c r="BD14" s="29">
        <v>0</v>
      </c>
      <c r="BE14" s="29">
        <v>0</v>
      </c>
      <c r="BF14" s="29">
        <v>0</v>
      </c>
      <c r="BG14" s="29">
        <v>0</v>
      </c>
      <c r="BH14" s="29">
        <f t="shared" si="3"/>
        <v>0</v>
      </c>
      <c r="BI14" s="29">
        <f t="shared" si="3"/>
        <v>0</v>
      </c>
      <c r="BJ14" s="29">
        <v>0</v>
      </c>
      <c r="BN14" s="29">
        <v>0</v>
      </c>
      <c r="BQ14" s="29">
        <v>0</v>
      </c>
      <c r="BT14" s="29">
        <v>0</v>
      </c>
      <c r="BW14" s="29">
        <v>0</v>
      </c>
      <c r="BZ14" s="29">
        <v>0</v>
      </c>
      <c r="CC14" s="29">
        <v>0</v>
      </c>
      <c r="CF14" s="29">
        <v>0</v>
      </c>
      <c r="CL14" s="29">
        <v>0</v>
      </c>
      <c r="CM14" s="29">
        <v>0</v>
      </c>
      <c r="CN14" s="29">
        <v>0</v>
      </c>
      <c r="CO14" s="29">
        <v>0</v>
      </c>
      <c r="CP14" s="29">
        <f t="shared" si="4"/>
        <v>0</v>
      </c>
      <c r="CQ14" s="29">
        <f t="shared" si="4"/>
        <v>0</v>
      </c>
      <c r="CR14" s="29">
        <v>0</v>
      </c>
      <c r="CV14" s="29">
        <v>0</v>
      </c>
      <c r="CW14" s="29">
        <v>0</v>
      </c>
      <c r="CX14" s="29">
        <v>0</v>
      </c>
      <c r="CY14" s="29">
        <v>0</v>
      </c>
      <c r="CZ14" s="29">
        <f t="shared" si="5"/>
        <v>0</v>
      </c>
      <c r="DA14" s="29">
        <f t="shared" si="5"/>
        <v>0</v>
      </c>
      <c r="DB14" s="29">
        <v>0</v>
      </c>
      <c r="DC14" s="29">
        <v>0</v>
      </c>
      <c r="DF14" s="29">
        <v>0</v>
      </c>
      <c r="DG14" s="29">
        <v>0</v>
      </c>
      <c r="DH14" s="29">
        <v>0</v>
      </c>
      <c r="DK14" s="29">
        <v>0</v>
      </c>
      <c r="DL14" s="29">
        <v>0</v>
      </c>
      <c r="DM14" s="29">
        <v>0</v>
      </c>
      <c r="DN14" s="29">
        <v>0</v>
      </c>
      <c r="DO14" s="29">
        <f t="shared" si="6"/>
        <v>0</v>
      </c>
      <c r="DP14" s="29">
        <f t="shared" si="6"/>
        <v>0</v>
      </c>
      <c r="DQ14" s="29">
        <v>0</v>
      </c>
      <c r="DR14" s="29">
        <v>0</v>
      </c>
      <c r="DU14" s="29">
        <v>0</v>
      </c>
      <c r="DV14" s="29">
        <v>0</v>
      </c>
      <c r="DW14" s="29">
        <v>0</v>
      </c>
      <c r="DX14" s="29">
        <v>0</v>
      </c>
      <c r="DY14" s="29">
        <f t="shared" si="7"/>
        <v>0</v>
      </c>
      <c r="DZ14" s="29">
        <f t="shared" si="7"/>
        <v>0</v>
      </c>
      <c r="EA14" s="29">
        <v>0</v>
      </c>
      <c r="EC14" s="29">
        <v>0</v>
      </c>
      <c r="EE14" s="29">
        <v>0</v>
      </c>
      <c r="EF14" s="29">
        <v>0</v>
      </c>
      <c r="EH14" s="29">
        <v>0</v>
      </c>
      <c r="EI14" s="29">
        <f t="shared" si="8"/>
        <v>0</v>
      </c>
      <c r="EJ14" s="29">
        <f t="shared" si="8"/>
        <v>0</v>
      </c>
      <c r="EK14" s="29">
        <v>0</v>
      </c>
      <c r="EL14" s="29">
        <v>0</v>
      </c>
      <c r="EM14" s="29">
        <v>0</v>
      </c>
      <c r="EN14" s="29">
        <v>0</v>
      </c>
      <c r="EO14" s="29">
        <v>0</v>
      </c>
      <c r="EP14" s="29">
        <v>0</v>
      </c>
      <c r="EQ14" s="29">
        <v>0</v>
      </c>
      <c r="ES14" s="29">
        <v>0</v>
      </c>
      <c r="ET14" s="29">
        <v>0</v>
      </c>
      <c r="EU14" s="29">
        <v>0</v>
      </c>
      <c r="EV14" s="29">
        <v>0</v>
      </c>
      <c r="EW14" s="29">
        <v>0</v>
      </c>
      <c r="EX14" s="29">
        <v>0</v>
      </c>
      <c r="EY14" s="29">
        <v>0</v>
      </c>
      <c r="EZ14" s="29">
        <v>0</v>
      </c>
      <c r="FA14" s="29">
        <v>0</v>
      </c>
      <c r="FB14" s="29">
        <f t="shared" si="9"/>
        <v>0</v>
      </c>
      <c r="FC14" s="29">
        <v>0</v>
      </c>
      <c r="FD14" s="29">
        <v>0</v>
      </c>
      <c r="FE14" s="29">
        <v>0</v>
      </c>
      <c r="FF14" s="29">
        <v>0</v>
      </c>
      <c r="FG14" s="29">
        <v>0</v>
      </c>
      <c r="FH14" s="29">
        <v>0</v>
      </c>
      <c r="FK14" s="29">
        <v>0</v>
      </c>
      <c r="FN14" s="29">
        <v>0</v>
      </c>
      <c r="FO14" s="29">
        <v>0</v>
      </c>
      <c r="FQ14" s="29">
        <v>0</v>
      </c>
      <c r="FT14" s="29">
        <v>0</v>
      </c>
      <c r="FU14" s="29">
        <v>0</v>
      </c>
      <c r="FV14" s="29">
        <v>0</v>
      </c>
      <c r="FW14" s="29">
        <v>0</v>
      </c>
      <c r="FX14" s="29">
        <v>0</v>
      </c>
      <c r="FY14" s="29">
        <v>0</v>
      </c>
      <c r="FZ14" s="29">
        <v>0</v>
      </c>
      <c r="GA14" s="46" t="s">
        <v>266</v>
      </c>
      <c r="GB14" s="25"/>
      <c r="GC14" s="25" t="s">
        <v>210</v>
      </c>
      <c r="GD14" s="24" t="s">
        <v>267</v>
      </c>
      <c r="GF14" s="35"/>
      <c r="GG14" s="35"/>
    </row>
    <row r="15" spans="1:191" ht="15.6" x14ac:dyDescent="0.3">
      <c r="A15" s="25" t="s">
        <v>268</v>
      </c>
      <c r="B15" s="25">
        <v>71377</v>
      </c>
      <c r="C15" s="25"/>
      <c r="D15" s="25"/>
      <c r="E15" s="25"/>
      <c r="F15" s="25"/>
      <c r="G15" s="25"/>
      <c r="H15" s="25"/>
      <c r="I15" s="25"/>
      <c r="J15" s="25">
        <v>4</v>
      </c>
      <c r="K15" s="25" t="s">
        <v>269</v>
      </c>
      <c r="L15" s="25" t="s">
        <v>270</v>
      </c>
      <c r="M15" s="25" t="s">
        <v>271</v>
      </c>
      <c r="N15" s="25" t="s">
        <v>203</v>
      </c>
      <c r="O15" s="36">
        <v>0.68125000000000002</v>
      </c>
      <c r="P15" s="47">
        <v>46223</v>
      </c>
      <c r="Q15" s="29">
        <f t="shared" si="0"/>
        <v>0</v>
      </c>
      <c r="R15" s="29">
        <f t="shared" si="0"/>
        <v>0</v>
      </c>
      <c r="S15" s="29">
        <v>0</v>
      </c>
      <c r="T15" s="29">
        <v>0</v>
      </c>
      <c r="U15" s="29">
        <v>0</v>
      </c>
      <c r="V15" s="29">
        <v>0</v>
      </c>
      <c r="W15" s="29">
        <v>0</v>
      </c>
      <c r="X15" s="29">
        <v>0</v>
      </c>
      <c r="Y15" s="29">
        <v>0</v>
      </c>
      <c r="Z15" s="29">
        <v>0</v>
      </c>
      <c r="AA15" s="29">
        <v>0</v>
      </c>
      <c r="AB15" s="29">
        <v>0</v>
      </c>
      <c r="AC15" s="29">
        <v>0</v>
      </c>
      <c r="AD15" s="29">
        <v>0</v>
      </c>
      <c r="AF15" s="29">
        <v>0</v>
      </c>
      <c r="AH15" s="29">
        <v>0</v>
      </c>
      <c r="AI15" s="29">
        <v>0</v>
      </c>
      <c r="AJ15" s="29">
        <v>0</v>
      </c>
      <c r="AK15" s="29">
        <v>0</v>
      </c>
      <c r="AL15" s="29">
        <v>0</v>
      </c>
      <c r="AM15" s="29">
        <v>0</v>
      </c>
      <c r="AN15" s="29">
        <f t="shared" si="1"/>
        <v>0</v>
      </c>
      <c r="AO15" s="29">
        <f t="shared" si="1"/>
        <v>0</v>
      </c>
      <c r="AP15" s="29">
        <v>0</v>
      </c>
      <c r="AR15" s="29">
        <v>0</v>
      </c>
      <c r="AS15" s="29">
        <v>0</v>
      </c>
      <c r="AT15" s="29">
        <v>0</v>
      </c>
      <c r="AU15" s="29">
        <v>0</v>
      </c>
      <c r="AV15" s="29">
        <v>0</v>
      </c>
      <c r="AW15" s="29">
        <v>0</v>
      </c>
      <c r="AX15" s="29">
        <f t="shared" si="2"/>
        <v>0</v>
      </c>
      <c r="AY15" s="29">
        <f t="shared" si="2"/>
        <v>0</v>
      </c>
      <c r="AZ15" s="29">
        <v>0</v>
      </c>
      <c r="BD15" s="29">
        <v>0</v>
      </c>
      <c r="BE15" s="29">
        <v>0</v>
      </c>
      <c r="BF15" s="29">
        <v>0</v>
      </c>
      <c r="BG15" s="29">
        <v>0</v>
      </c>
      <c r="BH15" s="29">
        <f t="shared" si="3"/>
        <v>0</v>
      </c>
      <c r="BI15" s="29">
        <f t="shared" si="3"/>
        <v>0</v>
      </c>
      <c r="BJ15" s="29">
        <v>0</v>
      </c>
      <c r="BN15" s="29">
        <v>0</v>
      </c>
      <c r="BQ15" s="29">
        <v>0</v>
      </c>
      <c r="BT15" s="29">
        <v>0</v>
      </c>
      <c r="BW15" s="29">
        <v>1</v>
      </c>
      <c r="BX15" s="29" t="s">
        <v>205</v>
      </c>
      <c r="BY15" s="29" t="s">
        <v>272</v>
      </c>
      <c r="BZ15" s="29">
        <v>0</v>
      </c>
      <c r="CC15" s="29">
        <v>0</v>
      </c>
      <c r="CF15" s="29">
        <v>0</v>
      </c>
      <c r="CL15" s="29">
        <v>0</v>
      </c>
      <c r="CM15" s="29">
        <v>0</v>
      </c>
      <c r="CN15" s="29">
        <v>0</v>
      </c>
      <c r="CO15" s="29">
        <v>0</v>
      </c>
      <c r="CP15" s="29">
        <f t="shared" si="4"/>
        <v>0</v>
      </c>
      <c r="CQ15" s="29">
        <f t="shared" si="4"/>
        <v>0</v>
      </c>
      <c r="CR15" s="29">
        <v>0</v>
      </c>
      <c r="CV15" s="29">
        <v>0</v>
      </c>
      <c r="CW15" s="29">
        <v>0</v>
      </c>
      <c r="CX15" s="29">
        <v>0</v>
      </c>
      <c r="CY15" s="29">
        <v>0</v>
      </c>
      <c r="CZ15" s="29">
        <f t="shared" si="5"/>
        <v>0</v>
      </c>
      <c r="DA15" s="29">
        <f t="shared" si="5"/>
        <v>0</v>
      </c>
      <c r="DB15" s="29">
        <v>0</v>
      </c>
      <c r="DC15" s="29">
        <v>0</v>
      </c>
      <c r="DF15" s="29">
        <v>0</v>
      </c>
      <c r="DG15" s="29">
        <v>0</v>
      </c>
      <c r="DH15" s="29">
        <v>0</v>
      </c>
      <c r="DK15" s="29">
        <v>0</v>
      </c>
      <c r="DL15" s="29">
        <v>0</v>
      </c>
      <c r="DM15" s="29">
        <v>0</v>
      </c>
      <c r="DN15" s="29">
        <v>0</v>
      </c>
      <c r="DO15" s="29">
        <f t="shared" si="6"/>
        <v>0</v>
      </c>
      <c r="DP15" s="29">
        <f t="shared" si="6"/>
        <v>0</v>
      </c>
      <c r="DQ15" s="29">
        <v>0</v>
      </c>
      <c r="DR15" s="29">
        <v>0</v>
      </c>
      <c r="DU15" s="29">
        <v>0</v>
      </c>
      <c r="DV15" s="29">
        <v>0</v>
      </c>
      <c r="DW15" s="29">
        <v>0</v>
      </c>
      <c r="DX15" s="29">
        <v>0</v>
      </c>
      <c r="DY15" s="29">
        <f t="shared" si="7"/>
        <v>0</v>
      </c>
      <c r="DZ15" s="29">
        <f t="shared" si="7"/>
        <v>0</v>
      </c>
      <c r="EA15" s="29">
        <v>0</v>
      </c>
      <c r="EC15" s="29">
        <v>0</v>
      </c>
      <c r="EE15" s="29">
        <v>0</v>
      </c>
      <c r="EF15" s="29">
        <v>0</v>
      </c>
      <c r="EH15" s="29">
        <v>0</v>
      </c>
      <c r="EI15" s="29">
        <f t="shared" si="8"/>
        <v>0</v>
      </c>
      <c r="EJ15" s="29">
        <f t="shared" si="8"/>
        <v>0</v>
      </c>
      <c r="EK15" s="29">
        <v>0</v>
      </c>
      <c r="EL15" s="29">
        <v>0</v>
      </c>
      <c r="EM15" s="29">
        <v>0</v>
      </c>
      <c r="EN15" s="29">
        <v>0</v>
      </c>
      <c r="EO15" s="29">
        <v>0</v>
      </c>
      <c r="EP15" s="29">
        <v>0</v>
      </c>
      <c r="EQ15" s="29">
        <v>0</v>
      </c>
      <c r="ES15" s="29">
        <v>0</v>
      </c>
      <c r="ET15" s="29">
        <v>0</v>
      </c>
      <c r="EU15" s="29">
        <v>0</v>
      </c>
      <c r="EV15" s="29">
        <v>0</v>
      </c>
      <c r="EW15" s="29">
        <v>0</v>
      </c>
      <c r="EX15" s="29">
        <v>0</v>
      </c>
      <c r="EY15" s="29">
        <v>0</v>
      </c>
      <c r="EZ15" s="29">
        <v>0</v>
      </c>
      <c r="FA15" s="29">
        <v>0</v>
      </c>
      <c r="FB15" s="29">
        <f t="shared" si="9"/>
        <v>0</v>
      </c>
      <c r="FC15" s="29">
        <v>0</v>
      </c>
      <c r="FD15" s="29">
        <v>0</v>
      </c>
      <c r="FE15" s="29">
        <v>0</v>
      </c>
      <c r="FF15" s="29">
        <v>0</v>
      </c>
      <c r="FG15" s="29">
        <v>0</v>
      </c>
      <c r="FH15" s="29">
        <v>0</v>
      </c>
      <c r="FK15" s="29">
        <v>0</v>
      </c>
      <c r="FN15" s="29">
        <v>0</v>
      </c>
      <c r="FO15" s="29">
        <v>0</v>
      </c>
      <c r="FQ15" s="29">
        <v>0</v>
      </c>
      <c r="FT15" s="29">
        <v>0</v>
      </c>
      <c r="FU15" s="29">
        <v>0</v>
      </c>
      <c r="FV15" s="29">
        <v>0</v>
      </c>
      <c r="FW15" s="29">
        <v>0</v>
      </c>
      <c r="FX15" s="29">
        <v>0</v>
      </c>
      <c r="FY15" s="29">
        <v>0</v>
      </c>
      <c r="FZ15" s="29">
        <v>0</v>
      </c>
      <c r="GA15" s="25" t="s">
        <v>273</v>
      </c>
      <c r="GB15" s="25"/>
      <c r="GC15" s="25" t="s">
        <v>260</v>
      </c>
      <c r="GD15" s="38" t="s">
        <v>274</v>
      </c>
      <c r="GE15" s="38"/>
      <c r="GF15" s="39"/>
      <c r="GG15" s="39"/>
    </row>
    <row r="16" spans="1:191" ht="15.6" x14ac:dyDescent="0.3">
      <c r="A16" s="25" t="s">
        <v>275</v>
      </c>
      <c r="B16" s="26">
        <v>53264</v>
      </c>
      <c r="C16" s="25"/>
      <c r="D16" s="25"/>
      <c r="E16" s="25"/>
      <c r="F16" s="25"/>
      <c r="G16" s="25"/>
      <c r="H16" s="25"/>
      <c r="I16" s="25"/>
      <c r="J16" s="25">
        <v>1</v>
      </c>
      <c r="K16" s="25" t="s">
        <v>276</v>
      </c>
      <c r="L16" s="25" t="s">
        <v>277</v>
      </c>
      <c r="M16" s="25" t="s">
        <v>278</v>
      </c>
      <c r="N16" s="26" t="s">
        <v>203</v>
      </c>
      <c r="O16" s="27">
        <v>0.58472222222222225</v>
      </c>
      <c r="P16" s="28">
        <v>46142</v>
      </c>
      <c r="Q16" s="29">
        <f t="shared" si="0"/>
        <v>0</v>
      </c>
      <c r="R16" s="29">
        <f t="shared" si="0"/>
        <v>0</v>
      </c>
      <c r="S16" s="29">
        <v>0</v>
      </c>
      <c r="T16" s="29">
        <v>0</v>
      </c>
      <c r="U16" s="29">
        <v>0</v>
      </c>
      <c r="V16" s="29">
        <v>0</v>
      </c>
      <c r="W16" s="29">
        <v>0</v>
      </c>
      <c r="X16" s="29">
        <v>0</v>
      </c>
      <c r="Y16" s="29">
        <v>0</v>
      </c>
      <c r="Z16" s="29">
        <v>0</v>
      </c>
      <c r="AA16" s="29">
        <v>0</v>
      </c>
      <c r="AB16" s="29">
        <v>0</v>
      </c>
      <c r="AC16" s="29">
        <v>0</v>
      </c>
      <c r="AD16" s="29">
        <v>0</v>
      </c>
      <c r="AF16" s="29">
        <v>0</v>
      </c>
      <c r="AH16" s="29">
        <v>0</v>
      </c>
      <c r="AI16" s="29">
        <v>0</v>
      </c>
      <c r="AJ16" s="29">
        <v>0</v>
      </c>
      <c r="AK16" s="29">
        <v>0</v>
      </c>
      <c r="AL16" s="29">
        <v>0</v>
      </c>
      <c r="AM16" s="29">
        <v>0</v>
      </c>
      <c r="AN16" s="29">
        <f t="shared" si="1"/>
        <v>0</v>
      </c>
      <c r="AO16" s="29">
        <f t="shared" si="1"/>
        <v>0</v>
      </c>
      <c r="AP16" s="29">
        <v>0</v>
      </c>
      <c r="AR16" s="29">
        <v>0</v>
      </c>
      <c r="AS16" s="29">
        <v>0</v>
      </c>
      <c r="AT16" s="29">
        <v>0</v>
      </c>
      <c r="AU16" s="29">
        <v>0</v>
      </c>
      <c r="AV16" s="29">
        <v>0</v>
      </c>
      <c r="AW16" s="29">
        <v>0</v>
      </c>
      <c r="AX16" s="29">
        <f t="shared" si="2"/>
        <v>0</v>
      </c>
      <c r="AY16" s="29">
        <f t="shared" si="2"/>
        <v>0</v>
      </c>
      <c r="AZ16" s="29">
        <v>0</v>
      </c>
      <c r="BD16" s="29">
        <v>0</v>
      </c>
      <c r="BE16" s="29">
        <v>0</v>
      </c>
      <c r="BF16" s="29">
        <v>0</v>
      </c>
      <c r="BG16" s="29">
        <v>0</v>
      </c>
      <c r="BH16" s="29">
        <f t="shared" si="3"/>
        <v>0</v>
      </c>
      <c r="BI16" s="29">
        <f t="shared" si="3"/>
        <v>0</v>
      </c>
      <c r="BJ16" s="29">
        <v>0</v>
      </c>
      <c r="BN16" s="29">
        <v>0</v>
      </c>
      <c r="BQ16" s="29">
        <v>0</v>
      </c>
      <c r="BT16" s="29">
        <v>0</v>
      </c>
      <c r="BW16" s="29">
        <v>0</v>
      </c>
      <c r="BZ16" s="29">
        <v>0</v>
      </c>
      <c r="CC16" s="29">
        <v>0</v>
      </c>
      <c r="CF16" s="29">
        <v>0</v>
      </c>
      <c r="CL16" s="29">
        <v>0</v>
      </c>
      <c r="CM16" s="29">
        <v>0</v>
      </c>
      <c r="CN16" s="29">
        <v>0</v>
      </c>
      <c r="CO16" s="29">
        <v>0</v>
      </c>
      <c r="CP16" s="29">
        <f t="shared" si="4"/>
        <v>0</v>
      </c>
      <c r="CQ16" s="29">
        <f t="shared" si="4"/>
        <v>0</v>
      </c>
      <c r="CR16" s="29">
        <v>0</v>
      </c>
      <c r="CV16" s="29">
        <v>0</v>
      </c>
      <c r="CW16" s="29">
        <v>0</v>
      </c>
      <c r="CX16" s="29">
        <v>0</v>
      </c>
      <c r="CY16" s="29">
        <v>0</v>
      </c>
      <c r="CZ16" s="29">
        <f t="shared" si="5"/>
        <v>0</v>
      </c>
      <c r="DA16" s="29">
        <f t="shared" si="5"/>
        <v>0</v>
      </c>
      <c r="DB16" s="29">
        <v>0</v>
      </c>
      <c r="DC16" s="29">
        <v>0</v>
      </c>
      <c r="DF16" s="29">
        <v>0</v>
      </c>
      <c r="DG16" s="29">
        <v>0</v>
      </c>
      <c r="DH16" s="29">
        <v>0</v>
      </c>
      <c r="DK16" s="29">
        <v>0</v>
      </c>
      <c r="DL16" s="29">
        <v>0</v>
      </c>
      <c r="DM16" s="29">
        <v>0</v>
      </c>
      <c r="DN16" s="29">
        <v>0</v>
      </c>
      <c r="DO16" s="29">
        <f t="shared" si="6"/>
        <v>0</v>
      </c>
      <c r="DP16" s="29">
        <f t="shared" si="6"/>
        <v>0</v>
      </c>
      <c r="DQ16" s="29">
        <v>0</v>
      </c>
      <c r="DR16" s="29">
        <v>0</v>
      </c>
      <c r="DU16" s="29">
        <v>0</v>
      </c>
      <c r="DV16" s="29">
        <v>0</v>
      </c>
      <c r="DW16" s="29">
        <v>0</v>
      </c>
      <c r="DX16" s="29">
        <v>0</v>
      </c>
      <c r="DY16" s="29">
        <f t="shared" si="7"/>
        <v>0</v>
      </c>
      <c r="DZ16" s="29">
        <f t="shared" si="7"/>
        <v>0</v>
      </c>
      <c r="EA16" s="29">
        <v>0</v>
      </c>
      <c r="EC16" s="29">
        <v>0</v>
      </c>
      <c r="EE16" s="29">
        <v>0</v>
      </c>
      <c r="EF16" s="29">
        <v>0</v>
      </c>
      <c r="EH16" s="29">
        <v>0</v>
      </c>
      <c r="EI16" s="29">
        <f t="shared" si="8"/>
        <v>0</v>
      </c>
      <c r="EJ16" s="29">
        <f t="shared" si="8"/>
        <v>0</v>
      </c>
      <c r="EK16" s="29">
        <v>0</v>
      </c>
      <c r="EL16" s="29">
        <v>0</v>
      </c>
      <c r="EM16" s="29">
        <v>0</v>
      </c>
      <c r="EN16" s="29">
        <v>0</v>
      </c>
      <c r="EO16" s="29">
        <v>0</v>
      </c>
      <c r="EP16" s="29">
        <v>0</v>
      </c>
      <c r="EQ16" s="29">
        <v>0</v>
      </c>
      <c r="ES16" s="29">
        <v>0</v>
      </c>
      <c r="ET16" s="29">
        <v>0</v>
      </c>
      <c r="EU16" s="29">
        <v>0</v>
      </c>
      <c r="EV16" s="29">
        <v>0</v>
      </c>
      <c r="EW16" s="29">
        <v>0</v>
      </c>
      <c r="EX16" s="29">
        <v>0</v>
      </c>
      <c r="EY16" s="29">
        <v>0</v>
      </c>
      <c r="EZ16" s="29">
        <v>0</v>
      </c>
      <c r="FA16" s="29">
        <v>0</v>
      </c>
      <c r="FB16" s="29">
        <f t="shared" si="9"/>
        <v>0</v>
      </c>
      <c r="FC16" s="29">
        <v>0</v>
      </c>
      <c r="FD16" s="29">
        <v>0</v>
      </c>
      <c r="FE16" s="29">
        <v>0</v>
      </c>
      <c r="FF16" s="29">
        <v>0</v>
      </c>
      <c r="FG16" s="29">
        <v>0</v>
      </c>
      <c r="FH16" s="29">
        <v>0</v>
      </c>
      <c r="FK16" s="29">
        <v>0</v>
      </c>
      <c r="FN16" s="29">
        <v>0</v>
      </c>
      <c r="FO16" s="29">
        <v>0</v>
      </c>
      <c r="FQ16" s="29">
        <v>0</v>
      </c>
      <c r="FT16" s="29">
        <v>0</v>
      </c>
      <c r="FU16" s="29">
        <v>0</v>
      </c>
      <c r="FV16" s="29">
        <v>0</v>
      </c>
      <c r="FW16" s="29">
        <v>0</v>
      </c>
      <c r="FX16" s="29">
        <v>0</v>
      </c>
      <c r="FY16" s="29">
        <v>0</v>
      </c>
      <c r="FZ16" s="29">
        <v>0</v>
      </c>
      <c r="GA16" s="25"/>
      <c r="GB16" s="30"/>
      <c r="GC16" s="25" t="s">
        <v>196</v>
      </c>
      <c r="GD16" s="31" t="s">
        <v>279</v>
      </c>
      <c r="GE16" s="31"/>
      <c r="GF16" s="32"/>
      <c r="GG16" s="32"/>
    </row>
    <row r="17" spans="1:189" ht="15.6" x14ac:dyDescent="0.3">
      <c r="A17" s="25" t="s">
        <v>280</v>
      </c>
      <c r="B17" s="25">
        <v>73162</v>
      </c>
      <c r="C17" s="25"/>
      <c r="D17" s="25"/>
      <c r="E17" s="25"/>
      <c r="F17" s="25"/>
      <c r="G17" s="25"/>
      <c r="H17" s="25"/>
      <c r="I17" s="25"/>
      <c r="J17" s="25">
        <v>3</v>
      </c>
      <c r="K17" s="25" t="s">
        <v>281</v>
      </c>
      <c r="L17" s="25" t="s">
        <v>282</v>
      </c>
      <c r="M17" s="25" t="s">
        <v>283</v>
      </c>
      <c r="N17" s="25" t="s">
        <v>284</v>
      </c>
      <c r="O17" s="36">
        <v>0.68333333333333335</v>
      </c>
      <c r="P17" s="37">
        <v>46199</v>
      </c>
      <c r="Q17" s="29">
        <f t="shared" si="0"/>
        <v>0</v>
      </c>
      <c r="R17" s="29">
        <f t="shared" si="0"/>
        <v>0</v>
      </c>
      <c r="S17" s="29">
        <v>0</v>
      </c>
      <c r="T17" s="29">
        <v>0</v>
      </c>
      <c r="U17" s="29">
        <v>0</v>
      </c>
      <c r="V17" s="29">
        <v>0</v>
      </c>
      <c r="W17" s="29">
        <v>0</v>
      </c>
      <c r="X17" s="29">
        <v>0</v>
      </c>
      <c r="Y17" s="29">
        <v>0</v>
      </c>
      <c r="Z17" s="29">
        <v>0</v>
      </c>
      <c r="AA17" s="29">
        <v>0</v>
      </c>
      <c r="AB17" s="29">
        <v>0</v>
      </c>
      <c r="AC17" s="29">
        <v>0</v>
      </c>
      <c r="AD17" s="29">
        <v>1</v>
      </c>
      <c r="AF17" s="29">
        <v>0</v>
      </c>
      <c r="AH17" s="29">
        <v>0</v>
      </c>
      <c r="AI17" s="29">
        <v>0</v>
      </c>
      <c r="AJ17" s="29">
        <v>0</v>
      </c>
      <c r="AK17" s="29">
        <v>0</v>
      </c>
      <c r="AL17" s="29">
        <v>0</v>
      </c>
      <c r="AM17" s="29">
        <v>0</v>
      </c>
      <c r="AN17" s="29">
        <f t="shared" si="1"/>
        <v>0</v>
      </c>
      <c r="AO17" s="29">
        <f t="shared" si="1"/>
        <v>0</v>
      </c>
      <c r="AP17" s="29">
        <v>0</v>
      </c>
      <c r="AR17" s="29">
        <v>0</v>
      </c>
      <c r="AS17" s="29">
        <v>0</v>
      </c>
      <c r="AT17" s="29">
        <v>0</v>
      </c>
      <c r="AU17" s="29">
        <v>0</v>
      </c>
      <c r="AV17" s="29">
        <v>0</v>
      </c>
      <c r="AW17" s="29">
        <v>0</v>
      </c>
      <c r="AX17" s="29">
        <f t="shared" si="2"/>
        <v>0</v>
      </c>
      <c r="AY17" s="29">
        <f t="shared" si="2"/>
        <v>0</v>
      </c>
      <c r="AZ17" s="29">
        <v>0</v>
      </c>
      <c r="BD17" s="29">
        <v>0</v>
      </c>
      <c r="BE17" s="29">
        <v>0</v>
      </c>
      <c r="BF17" s="29">
        <v>0</v>
      </c>
      <c r="BG17" s="29">
        <v>0</v>
      </c>
      <c r="BH17" s="29">
        <f t="shared" si="3"/>
        <v>0</v>
      </c>
      <c r="BI17" s="29">
        <f t="shared" si="3"/>
        <v>0</v>
      </c>
      <c r="BJ17" s="29">
        <v>0</v>
      </c>
      <c r="BN17" s="29">
        <v>0</v>
      </c>
      <c r="BQ17" s="29">
        <v>0</v>
      </c>
      <c r="BT17" s="29">
        <v>0</v>
      </c>
      <c r="BW17" s="29">
        <v>0</v>
      </c>
      <c r="BZ17" s="29">
        <v>0</v>
      </c>
      <c r="CC17" s="29">
        <v>0</v>
      </c>
      <c r="CF17" s="29">
        <v>0</v>
      </c>
      <c r="CL17" s="29">
        <v>0</v>
      </c>
      <c r="CM17" s="29">
        <v>0</v>
      </c>
      <c r="CN17" s="29">
        <v>0</v>
      </c>
      <c r="CO17" s="29">
        <v>0</v>
      </c>
      <c r="CP17" s="29">
        <f t="shared" si="4"/>
        <v>0</v>
      </c>
      <c r="CQ17" s="29">
        <f t="shared" si="4"/>
        <v>0</v>
      </c>
      <c r="CR17" s="29">
        <v>0</v>
      </c>
      <c r="CV17" s="29">
        <v>0</v>
      </c>
      <c r="CW17" s="29">
        <v>0</v>
      </c>
      <c r="CX17" s="29">
        <v>0</v>
      </c>
      <c r="CY17" s="29">
        <v>0</v>
      </c>
      <c r="CZ17" s="29">
        <f t="shared" si="5"/>
        <v>0</v>
      </c>
      <c r="DA17" s="29">
        <f t="shared" si="5"/>
        <v>0</v>
      </c>
      <c r="DB17" s="29">
        <v>0</v>
      </c>
      <c r="DC17" s="29">
        <v>0</v>
      </c>
      <c r="DF17" s="29">
        <v>0</v>
      </c>
      <c r="DG17" s="29">
        <v>0</v>
      </c>
      <c r="DH17" s="29">
        <v>0</v>
      </c>
      <c r="DK17" s="29">
        <v>0</v>
      </c>
      <c r="DL17" s="29">
        <v>0</v>
      </c>
      <c r="DM17" s="29">
        <v>0</v>
      </c>
      <c r="DN17" s="29">
        <v>0</v>
      </c>
      <c r="DO17" s="29">
        <f t="shared" si="6"/>
        <v>0</v>
      </c>
      <c r="DP17" s="29">
        <f t="shared" si="6"/>
        <v>0</v>
      </c>
      <c r="DQ17" s="29">
        <v>0</v>
      </c>
      <c r="DR17" s="29">
        <v>0</v>
      </c>
      <c r="DU17" s="29">
        <v>0</v>
      </c>
      <c r="DV17" s="29">
        <v>0</v>
      </c>
      <c r="DW17" s="29">
        <v>0</v>
      </c>
      <c r="DX17" s="29">
        <v>0</v>
      </c>
      <c r="DY17" s="29">
        <f t="shared" si="7"/>
        <v>0</v>
      </c>
      <c r="DZ17" s="29">
        <f t="shared" si="7"/>
        <v>0</v>
      </c>
      <c r="EA17" s="29">
        <v>0</v>
      </c>
      <c r="EC17" s="29">
        <v>0</v>
      </c>
      <c r="EE17" s="29">
        <v>0</v>
      </c>
      <c r="EF17" s="29">
        <v>0</v>
      </c>
      <c r="EH17" s="29">
        <v>0</v>
      </c>
      <c r="EI17" s="29">
        <f t="shared" si="8"/>
        <v>0</v>
      </c>
      <c r="EJ17" s="29">
        <f t="shared" si="8"/>
        <v>0</v>
      </c>
      <c r="EK17" s="29">
        <v>0</v>
      </c>
      <c r="EL17" s="29">
        <v>0</v>
      </c>
      <c r="EM17" s="29">
        <v>0</v>
      </c>
      <c r="EN17" s="29">
        <v>0</v>
      </c>
      <c r="EO17" s="29">
        <v>0</v>
      </c>
      <c r="EP17" s="29">
        <v>0</v>
      </c>
      <c r="EQ17" s="29">
        <v>0</v>
      </c>
      <c r="ES17" s="29">
        <v>0</v>
      </c>
      <c r="ET17" s="29">
        <v>0</v>
      </c>
      <c r="EU17" s="29">
        <v>0</v>
      </c>
      <c r="EV17" s="29">
        <v>0</v>
      </c>
      <c r="EW17" s="29">
        <v>0</v>
      </c>
      <c r="EX17" s="29">
        <v>0</v>
      </c>
      <c r="EY17" s="29">
        <v>0</v>
      </c>
      <c r="EZ17" s="29">
        <v>0</v>
      </c>
      <c r="FA17" s="29">
        <v>0</v>
      </c>
      <c r="FB17" s="29">
        <f t="shared" si="9"/>
        <v>0</v>
      </c>
      <c r="FC17" s="29">
        <v>0</v>
      </c>
      <c r="FD17" s="29">
        <v>0</v>
      </c>
      <c r="FE17" s="29">
        <v>0</v>
      </c>
      <c r="FF17" s="29">
        <v>0</v>
      </c>
      <c r="FG17" s="29">
        <v>0</v>
      </c>
      <c r="FH17" s="29">
        <v>0</v>
      </c>
      <c r="FK17" s="29">
        <v>0</v>
      </c>
      <c r="FN17" s="29">
        <v>0</v>
      </c>
      <c r="FO17" s="29">
        <v>0</v>
      </c>
      <c r="FQ17" s="29">
        <v>0</v>
      </c>
      <c r="FT17" s="29">
        <v>0</v>
      </c>
      <c r="FU17" s="29">
        <v>0</v>
      </c>
      <c r="FV17" s="29">
        <v>0</v>
      </c>
      <c r="FW17" s="29">
        <v>0</v>
      </c>
      <c r="FX17" s="29">
        <v>0</v>
      </c>
      <c r="FY17" s="29">
        <v>0</v>
      </c>
      <c r="FZ17" s="29">
        <v>0</v>
      </c>
      <c r="GA17" s="48"/>
      <c r="GB17" s="48"/>
      <c r="GC17" s="25" t="s">
        <v>285</v>
      </c>
      <c r="GD17" s="24" t="s">
        <v>286</v>
      </c>
      <c r="GE17" s="24"/>
      <c r="GF17" s="39"/>
      <c r="GG17" s="39"/>
    </row>
    <row r="18" spans="1:189" ht="15.6" x14ac:dyDescent="0.3">
      <c r="A18" s="34" t="s">
        <v>280</v>
      </c>
      <c r="B18" s="26">
        <v>73162</v>
      </c>
      <c r="C18" s="25"/>
      <c r="D18" s="25"/>
      <c r="E18" s="25"/>
      <c r="F18" s="25"/>
      <c r="G18" s="25"/>
      <c r="H18" s="25"/>
      <c r="I18" s="25"/>
      <c r="J18" s="25">
        <v>1</v>
      </c>
      <c r="K18" s="26" t="s">
        <v>287</v>
      </c>
      <c r="L18" s="26" t="s">
        <v>288</v>
      </c>
      <c r="M18" s="25" t="s">
        <v>289</v>
      </c>
      <c r="N18" s="26" t="s">
        <v>234</v>
      </c>
      <c r="O18" s="27">
        <v>0.74861111111111101</v>
      </c>
      <c r="P18" s="28">
        <v>46142</v>
      </c>
      <c r="Q18" s="29">
        <f t="shared" ref="Q18:R19" si="10">SUM(S18,AN18,AX18,BH18,CP18,DF18,CZ18,DO18,DY18,EI18,ES18,EV18,FT18)</f>
        <v>0</v>
      </c>
      <c r="R18" s="29">
        <f t="shared" si="10"/>
        <v>0</v>
      </c>
      <c r="S18" s="29">
        <v>0</v>
      </c>
      <c r="T18" s="29">
        <v>0</v>
      </c>
      <c r="U18" s="29">
        <v>0</v>
      </c>
      <c r="V18" s="29">
        <v>0</v>
      </c>
      <c r="W18" s="29">
        <v>0</v>
      </c>
      <c r="X18" s="29">
        <v>0</v>
      </c>
      <c r="Y18" s="29">
        <v>0</v>
      </c>
      <c r="Z18" s="29">
        <v>0</v>
      </c>
      <c r="AA18" s="29">
        <v>0</v>
      </c>
      <c r="AB18" s="29">
        <v>0</v>
      </c>
      <c r="AC18" s="29">
        <v>0</v>
      </c>
      <c r="AD18" s="29">
        <v>0</v>
      </c>
      <c r="AF18" s="29">
        <v>0</v>
      </c>
      <c r="AH18" s="29">
        <v>0</v>
      </c>
      <c r="AI18" s="29">
        <v>0</v>
      </c>
      <c r="AJ18" s="29">
        <v>0</v>
      </c>
      <c r="AK18" s="29">
        <v>0</v>
      </c>
      <c r="AL18" s="29">
        <v>0</v>
      </c>
      <c r="AM18" s="29">
        <v>0</v>
      </c>
      <c r="AN18" s="29">
        <f t="shared" ref="AN18:AO19" si="11">SUM(AJ18,AL18)</f>
        <v>0</v>
      </c>
      <c r="AO18" s="29">
        <f t="shared" si="11"/>
        <v>0</v>
      </c>
      <c r="AP18" s="29">
        <v>0</v>
      </c>
      <c r="AR18" s="29">
        <v>0</v>
      </c>
      <c r="AS18" s="29">
        <v>0</v>
      </c>
      <c r="AT18" s="29">
        <v>0</v>
      </c>
      <c r="AU18" s="29">
        <v>0</v>
      </c>
      <c r="AV18" s="29">
        <v>0</v>
      </c>
      <c r="AW18" s="29">
        <v>0</v>
      </c>
      <c r="AX18" s="29">
        <f t="shared" ref="AX18:AY19" si="12">SUM(AV18,AT18)</f>
        <v>0</v>
      </c>
      <c r="AY18" s="29">
        <f t="shared" si="12"/>
        <v>0</v>
      </c>
      <c r="AZ18" s="29">
        <v>0</v>
      </c>
      <c r="BD18" s="29">
        <v>0</v>
      </c>
      <c r="BE18" s="29">
        <v>0</v>
      </c>
      <c r="BF18" s="29">
        <v>0</v>
      </c>
      <c r="BG18" s="29">
        <v>0</v>
      </c>
      <c r="BH18" s="29">
        <f t="shared" ref="BH18:BI19" si="13">SUM(BD18,BF18)</f>
        <v>0</v>
      </c>
      <c r="BI18" s="29">
        <f t="shared" si="13"/>
        <v>0</v>
      </c>
      <c r="BJ18" s="29">
        <v>0</v>
      </c>
      <c r="BN18" s="29">
        <v>0</v>
      </c>
      <c r="BQ18" s="29">
        <v>0</v>
      </c>
      <c r="BT18" s="29">
        <v>0</v>
      </c>
      <c r="BW18" s="29">
        <v>0</v>
      </c>
      <c r="BZ18" s="29">
        <v>0</v>
      </c>
      <c r="CC18" s="29">
        <v>0</v>
      </c>
      <c r="CF18" s="29">
        <v>0</v>
      </c>
      <c r="CL18" s="29">
        <v>0</v>
      </c>
      <c r="CM18" s="29">
        <v>0</v>
      </c>
      <c r="CN18" s="29">
        <v>0</v>
      </c>
      <c r="CO18" s="29">
        <v>0</v>
      </c>
      <c r="CP18" s="29">
        <f t="shared" ref="CP18:CQ19" si="14">SUM(CL18,CN18)</f>
        <v>0</v>
      </c>
      <c r="CQ18" s="29">
        <f t="shared" si="14"/>
        <v>0</v>
      </c>
      <c r="CR18" s="29">
        <v>0</v>
      </c>
      <c r="CV18" s="29">
        <v>0</v>
      </c>
      <c r="CW18" s="29">
        <v>0</v>
      </c>
      <c r="CX18" s="29">
        <v>0</v>
      </c>
      <c r="CY18" s="29">
        <v>0</v>
      </c>
      <c r="CZ18" s="29">
        <f t="shared" ref="CZ18:DA19" si="15">SUM(CV18,CX18)</f>
        <v>0</v>
      </c>
      <c r="DA18" s="29">
        <f t="shared" si="15"/>
        <v>0</v>
      </c>
      <c r="DB18" s="29">
        <v>0</v>
      </c>
      <c r="DC18" s="29">
        <v>0</v>
      </c>
      <c r="DF18" s="29">
        <v>0</v>
      </c>
      <c r="DG18" s="29">
        <v>0</v>
      </c>
      <c r="DH18" s="29">
        <v>0</v>
      </c>
      <c r="DK18" s="29">
        <v>0</v>
      </c>
      <c r="DL18" s="29">
        <v>0</v>
      </c>
      <c r="DM18" s="29">
        <v>0</v>
      </c>
      <c r="DN18" s="29">
        <v>0</v>
      </c>
      <c r="DO18" s="29">
        <f t="shared" ref="DO18:DP19" si="16">SUM(DK18,DM18)</f>
        <v>0</v>
      </c>
      <c r="DP18" s="29">
        <f t="shared" si="16"/>
        <v>0</v>
      </c>
      <c r="DQ18" s="29">
        <v>0</v>
      </c>
      <c r="DR18" s="29">
        <v>0</v>
      </c>
      <c r="DU18" s="29">
        <v>0</v>
      </c>
      <c r="DV18" s="29">
        <v>0</v>
      </c>
      <c r="DW18" s="29">
        <v>0</v>
      </c>
      <c r="DX18" s="29">
        <v>0</v>
      </c>
      <c r="DY18" s="29">
        <f t="shared" ref="DY18:DZ19" si="17">SUM(DU18,DW18)</f>
        <v>0</v>
      </c>
      <c r="DZ18" s="29">
        <f t="shared" si="17"/>
        <v>0</v>
      </c>
      <c r="EA18" s="29">
        <v>0</v>
      </c>
      <c r="EC18" s="29">
        <v>0</v>
      </c>
      <c r="EE18" s="29">
        <v>0</v>
      </c>
      <c r="EF18" s="29">
        <v>0</v>
      </c>
      <c r="EH18" s="29">
        <v>0</v>
      </c>
      <c r="EI18" s="29">
        <f t="shared" ref="EI18:EJ19" si="18">SUM(EK18,EM18,EO18)</f>
        <v>0</v>
      </c>
      <c r="EJ18" s="29">
        <f t="shared" si="18"/>
        <v>0</v>
      </c>
      <c r="EK18" s="29">
        <v>0</v>
      </c>
      <c r="EL18" s="29">
        <v>0</v>
      </c>
      <c r="EM18" s="29">
        <v>0</v>
      </c>
      <c r="EN18" s="29">
        <v>0</v>
      </c>
      <c r="EO18" s="29">
        <v>0</v>
      </c>
      <c r="EP18" s="29">
        <v>0</v>
      </c>
      <c r="EQ18" s="29">
        <v>0</v>
      </c>
      <c r="ES18" s="29">
        <v>0</v>
      </c>
      <c r="ET18" s="29">
        <v>0</v>
      </c>
      <c r="EU18" s="29">
        <v>0</v>
      </c>
      <c r="EV18" s="29">
        <v>0</v>
      </c>
      <c r="EW18" s="29">
        <v>0</v>
      </c>
      <c r="EX18" s="29">
        <v>0</v>
      </c>
      <c r="EY18" s="29">
        <v>0</v>
      </c>
      <c r="EZ18" s="29">
        <v>0</v>
      </c>
      <c r="FA18" s="29">
        <v>0</v>
      </c>
      <c r="FB18" s="29">
        <f t="shared" si="9"/>
        <v>0</v>
      </c>
      <c r="FC18" s="29">
        <v>0</v>
      </c>
      <c r="FD18" s="29">
        <v>0</v>
      </c>
      <c r="FE18" s="29">
        <v>0</v>
      </c>
      <c r="FF18" s="29">
        <v>0</v>
      </c>
      <c r="FG18" s="29">
        <v>0</v>
      </c>
      <c r="FH18" s="29">
        <v>0</v>
      </c>
      <c r="FK18" s="29">
        <v>0</v>
      </c>
      <c r="FN18" s="29">
        <v>0</v>
      </c>
      <c r="FO18" s="29">
        <v>0</v>
      </c>
      <c r="FQ18" s="29">
        <v>0</v>
      </c>
      <c r="FT18" s="29">
        <v>0</v>
      </c>
      <c r="FU18" s="29">
        <v>0</v>
      </c>
      <c r="FV18" s="29">
        <v>0</v>
      </c>
      <c r="FW18" s="29">
        <v>0</v>
      </c>
      <c r="FX18" s="29">
        <v>0</v>
      </c>
      <c r="FY18" s="29">
        <v>0</v>
      </c>
      <c r="FZ18" s="29">
        <v>0</v>
      </c>
      <c r="GA18" s="49" t="s">
        <v>290</v>
      </c>
      <c r="GB18" s="30"/>
      <c r="GC18" s="25" t="s">
        <v>260</v>
      </c>
      <c r="GD18" s="31" t="s">
        <v>291</v>
      </c>
      <c r="GE18" s="31"/>
      <c r="GF18" s="32"/>
      <c r="GG18" s="32"/>
    </row>
    <row r="19" spans="1:189" ht="15.6" x14ac:dyDescent="0.3">
      <c r="A19" s="25" t="s">
        <v>297</v>
      </c>
      <c r="B19" s="25">
        <v>71113</v>
      </c>
      <c r="C19" s="25"/>
      <c r="D19" s="25"/>
      <c r="E19" s="25"/>
      <c r="F19" s="25"/>
      <c r="G19" s="25"/>
      <c r="H19" s="25"/>
      <c r="I19" s="25"/>
      <c r="J19" s="25">
        <v>3</v>
      </c>
      <c r="K19" s="25" t="s">
        <v>298</v>
      </c>
      <c r="L19" s="25" t="s">
        <v>293</v>
      </c>
      <c r="M19" s="26" t="s">
        <v>299</v>
      </c>
      <c r="N19" s="26" t="s">
        <v>300</v>
      </c>
      <c r="O19" s="40">
        <v>0.68819444444444444</v>
      </c>
      <c r="P19" s="28">
        <v>46201</v>
      </c>
      <c r="Q19" s="29">
        <v>0</v>
      </c>
      <c r="R19" s="29">
        <v>0</v>
      </c>
      <c r="S19" s="29">
        <v>0</v>
      </c>
      <c r="T19" s="29">
        <v>0</v>
      </c>
      <c r="U19" s="29">
        <v>0</v>
      </c>
      <c r="V19" s="29">
        <v>0</v>
      </c>
      <c r="W19" s="29">
        <v>0</v>
      </c>
      <c r="X19" s="29">
        <v>0</v>
      </c>
      <c r="Y19" s="29">
        <v>0</v>
      </c>
      <c r="Z19" s="29">
        <v>0</v>
      </c>
      <c r="AA19" s="29">
        <v>0</v>
      </c>
      <c r="AB19" s="29">
        <v>0</v>
      </c>
      <c r="AC19" s="29">
        <v>0</v>
      </c>
      <c r="AD19" s="29">
        <v>0</v>
      </c>
      <c r="AF19" s="29">
        <v>0</v>
      </c>
      <c r="AH19" s="29">
        <v>0</v>
      </c>
      <c r="AI19" s="29">
        <v>0</v>
      </c>
      <c r="AJ19" s="29">
        <v>0</v>
      </c>
      <c r="AK19" s="29">
        <v>0</v>
      </c>
      <c r="AL19" s="29">
        <v>0</v>
      </c>
      <c r="AM19" s="29">
        <v>0</v>
      </c>
      <c r="AN19" s="29">
        <v>0</v>
      </c>
      <c r="AO19" s="29">
        <v>0</v>
      </c>
      <c r="AP19" s="29">
        <v>0</v>
      </c>
      <c r="AR19" s="29">
        <v>0</v>
      </c>
      <c r="AS19" s="29">
        <v>0</v>
      </c>
      <c r="AT19" s="29">
        <v>0</v>
      </c>
      <c r="AU19" s="29">
        <v>0</v>
      </c>
      <c r="AV19" s="29">
        <v>0</v>
      </c>
      <c r="AW19" s="29">
        <v>0</v>
      </c>
      <c r="AX19" s="29">
        <v>0</v>
      </c>
      <c r="AY19" s="29">
        <v>0</v>
      </c>
      <c r="AZ19" s="29">
        <v>0</v>
      </c>
      <c r="BD19" s="29">
        <v>0</v>
      </c>
      <c r="BE19" s="29">
        <v>0</v>
      </c>
      <c r="BF19" s="29">
        <v>0</v>
      </c>
      <c r="BG19" s="29">
        <v>0</v>
      </c>
      <c r="BH19" s="29">
        <v>0</v>
      </c>
      <c r="BI19" s="29">
        <v>0</v>
      </c>
      <c r="BJ19" s="29">
        <v>0</v>
      </c>
      <c r="BN19" s="29">
        <v>0</v>
      </c>
      <c r="BQ19" s="29">
        <v>0</v>
      </c>
      <c r="BT19" s="29">
        <v>0</v>
      </c>
      <c r="BW19" s="29">
        <v>0</v>
      </c>
      <c r="BZ19" s="29">
        <v>0</v>
      </c>
      <c r="CC19" s="29">
        <v>0</v>
      </c>
      <c r="CF19" s="29">
        <v>0</v>
      </c>
      <c r="CL19" s="29">
        <v>0</v>
      </c>
      <c r="CM19" s="29">
        <v>0</v>
      </c>
      <c r="CN19" s="29">
        <v>0</v>
      </c>
      <c r="CO19" s="29">
        <v>0</v>
      </c>
      <c r="CP19" s="29">
        <v>0</v>
      </c>
      <c r="CQ19" s="29">
        <v>0</v>
      </c>
      <c r="CR19" s="29">
        <v>0</v>
      </c>
      <c r="CV19" s="29">
        <v>0</v>
      </c>
      <c r="CW19" s="29">
        <v>0</v>
      </c>
      <c r="CX19" s="29">
        <v>0</v>
      </c>
      <c r="CY19" s="29">
        <v>0</v>
      </c>
      <c r="CZ19" s="29">
        <v>0</v>
      </c>
      <c r="DA19" s="29">
        <v>0</v>
      </c>
      <c r="DB19" s="29">
        <v>0</v>
      </c>
      <c r="DC19" s="29">
        <v>0</v>
      </c>
      <c r="DF19" s="29">
        <v>0</v>
      </c>
      <c r="DG19" s="29">
        <v>0</v>
      </c>
      <c r="DH19" s="29">
        <v>0</v>
      </c>
      <c r="DK19" s="29">
        <v>0</v>
      </c>
      <c r="DL19" s="29">
        <v>0</v>
      </c>
      <c r="DM19" s="29">
        <v>0</v>
      </c>
      <c r="DN19" s="29">
        <v>0</v>
      </c>
      <c r="DO19" s="29">
        <v>0</v>
      </c>
      <c r="DP19" s="29">
        <v>0</v>
      </c>
      <c r="DQ19" s="29">
        <v>0</v>
      </c>
      <c r="DR19" s="29">
        <v>0</v>
      </c>
      <c r="DU19" s="29">
        <v>0</v>
      </c>
      <c r="DV19" s="29">
        <v>0</v>
      </c>
      <c r="DW19" s="29">
        <v>0</v>
      </c>
      <c r="DX19" s="29">
        <v>0</v>
      </c>
      <c r="DY19" s="29">
        <v>0</v>
      </c>
      <c r="DZ19" s="29">
        <v>0</v>
      </c>
      <c r="EA19" s="29">
        <v>0</v>
      </c>
      <c r="EC19" s="29">
        <v>0</v>
      </c>
      <c r="EE19" s="29">
        <v>0</v>
      </c>
      <c r="EF19" s="29">
        <v>0</v>
      </c>
      <c r="EH19" s="29">
        <v>0</v>
      </c>
      <c r="EI19" s="29">
        <v>0</v>
      </c>
      <c r="EJ19" s="29">
        <v>0</v>
      </c>
      <c r="EK19" s="29">
        <v>0</v>
      </c>
      <c r="EL19" s="29">
        <v>0</v>
      </c>
      <c r="EM19" s="29">
        <v>0</v>
      </c>
      <c r="EN19" s="29">
        <v>0</v>
      </c>
      <c r="EO19" s="29">
        <v>0</v>
      </c>
      <c r="EP19" s="29">
        <v>0</v>
      </c>
      <c r="EQ19" s="29">
        <v>0</v>
      </c>
      <c r="ES19" s="29">
        <v>0</v>
      </c>
      <c r="ET19" s="29">
        <v>0</v>
      </c>
      <c r="EU19" s="29">
        <v>0</v>
      </c>
      <c r="EV19" s="29">
        <v>0</v>
      </c>
      <c r="EW19" s="29">
        <v>0</v>
      </c>
      <c r="EX19" s="29">
        <v>0</v>
      </c>
      <c r="EY19" s="29">
        <v>0</v>
      </c>
      <c r="EZ19" s="29">
        <v>0</v>
      </c>
      <c r="FA19" s="29">
        <v>0</v>
      </c>
      <c r="FB19" s="29">
        <v>0</v>
      </c>
      <c r="FC19" s="29">
        <v>0</v>
      </c>
      <c r="FD19" s="29">
        <v>0</v>
      </c>
      <c r="FE19" s="29">
        <v>0</v>
      </c>
      <c r="FF19" s="29">
        <v>0</v>
      </c>
      <c r="FG19" s="29">
        <v>0</v>
      </c>
      <c r="FH19" s="29">
        <v>0</v>
      </c>
      <c r="FK19" s="29">
        <v>0</v>
      </c>
      <c r="FN19" s="29">
        <v>0</v>
      </c>
      <c r="FO19" s="29">
        <v>0</v>
      </c>
      <c r="FQ19" s="29">
        <v>0</v>
      </c>
      <c r="FT19" s="29">
        <v>0</v>
      </c>
      <c r="FU19" s="29">
        <v>0</v>
      </c>
      <c r="FV19" s="29">
        <v>0</v>
      </c>
      <c r="FW19" s="29">
        <v>0</v>
      </c>
      <c r="FX19" s="29">
        <v>0</v>
      </c>
      <c r="FY19" s="29">
        <v>0</v>
      </c>
      <c r="FZ19" s="29">
        <v>0</v>
      </c>
      <c r="GA19" s="50" t="s">
        <v>301</v>
      </c>
      <c r="GB19" s="50"/>
      <c r="GC19" s="25" t="s">
        <v>285</v>
      </c>
      <c r="GD19" s="22" t="s">
        <v>302</v>
      </c>
      <c r="GE19" s="22"/>
      <c r="GF19" s="39"/>
      <c r="GG19" s="39"/>
    </row>
    <row r="20" spans="1:189" ht="15.6" x14ac:dyDescent="0.3">
      <c r="A20" s="25" t="s">
        <v>292</v>
      </c>
      <c r="B20" s="25">
        <v>71115</v>
      </c>
      <c r="C20" s="25"/>
      <c r="D20" s="25"/>
      <c r="E20" s="25"/>
      <c r="F20" s="25"/>
      <c r="G20" s="25"/>
      <c r="H20" s="25"/>
      <c r="I20" s="25"/>
      <c r="J20" s="25">
        <v>5</v>
      </c>
      <c r="K20" s="26" t="s">
        <v>303</v>
      </c>
      <c r="L20" s="26" t="s">
        <v>304</v>
      </c>
      <c r="M20" s="25" t="s">
        <v>294</v>
      </c>
      <c r="N20" s="25" t="s">
        <v>203</v>
      </c>
      <c r="O20" s="36">
        <v>0.5444444444444444</v>
      </c>
      <c r="P20" s="37">
        <v>46236</v>
      </c>
      <c r="Q20" s="29">
        <v>0</v>
      </c>
      <c r="R20" s="29">
        <v>0</v>
      </c>
      <c r="S20" s="29">
        <v>0</v>
      </c>
      <c r="T20" s="29">
        <v>0</v>
      </c>
      <c r="U20" s="29">
        <v>0</v>
      </c>
      <c r="V20" s="29">
        <v>0</v>
      </c>
      <c r="W20" s="29">
        <v>0</v>
      </c>
      <c r="X20" s="29">
        <v>0</v>
      </c>
      <c r="Y20" s="29">
        <v>0</v>
      </c>
      <c r="Z20" s="29">
        <v>0</v>
      </c>
      <c r="AA20" s="29">
        <v>0</v>
      </c>
      <c r="AB20" s="29">
        <v>0</v>
      </c>
      <c r="AC20" s="29">
        <v>0</v>
      </c>
      <c r="AD20" s="29">
        <v>0</v>
      </c>
      <c r="AF20" s="29">
        <v>0</v>
      </c>
      <c r="AH20" s="29">
        <v>0</v>
      </c>
      <c r="AI20" s="29">
        <v>0</v>
      </c>
      <c r="AJ20" s="29">
        <v>0</v>
      </c>
      <c r="AK20" s="29">
        <v>0</v>
      </c>
      <c r="AL20" s="29">
        <v>0</v>
      </c>
      <c r="AM20" s="29">
        <v>0</v>
      </c>
      <c r="AN20" s="29">
        <v>0</v>
      </c>
      <c r="AO20" s="29">
        <v>0</v>
      </c>
      <c r="AP20" s="29">
        <v>0</v>
      </c>
      <c r="AR20" s="29">
        <v>0</v>
      </c>
      <c r="AS20" s="29">
        <v>0</v>
      </c>
      <c r="AT20" s="29">
        <v>0</v>
      </c>
      <c r="AU20" s="29">
        <v>0</v>
      </c>
      <c r="AV20" s="29">
        <v>0</v>
      </c>
      <c r="AW20" s="29">
        <v>0</v>
      </c>
      <c r="AX20" s="29">
        <v>0</v>
      </c>
      <c r="AY20" s="29">
        <v>0</v>
      </c>
      <c r="AZ20" s="29">
        <v>0</v>
      </c>
      <c r="BD20" s="29">
        <v>0</v>
      </c>
      <c r="BE20" s="29">
        <v>0</v>
      </c>
      <c r="BF20" s="29">
        <v>0</v>
      </c>
      <c r="BG20" s="29">
        <v>0</v>
      </c>
      <c r="BH20" s="29">
        <v>0</v>
      </c>
      <c r="BI20" s="29">
        <v>0</v>
      </c>
      <c r="BJ20" s="29">
        <v>0</v>
      </c>
      <c r="BN20" s="29">
        <v>0</v>
      </c>
      <c r="BQ20" s="29">
        <v>0</v>
      </c>
      <c r="BT20" s="29">
        <v>0</v>
      </c>
      <c r="BW20" s="29">
        <v>0</v>
      </c>
      <c r="BZ20" s="29">
        <v>0</v>
      </c>
      <c r="CC20" s="29">
        <v>0</v>
      </c>
      <c r="CF20" s="29">
        <v>0</v>
      </c>
      <c r="CL20" s="29">
        <v>0</v>
      </c>
      <c r="CM20" s="29">
        <v>0</v>
      </c>
      <c r="CN20" s="29">
        <v>0</v>
      </c>
      <c r="CO20" s="29">
        <v>0</v>
      </c>
      <c r="CP20" s="29">
        <v>0</v>
      </c>
      <c r="CQ20" s="29">
        <v>0</v>
      </c>
      <c r="CR20" s="29">
        <v>0</v>
      </c>
      <c r="CV20" s="29">
        <v>0</v>
      </c>
      <c r="CW20" s="29">
        <v>0</v>
      </c>
      <c r="CX20" s="29">
        <v>0</v>
      </c>
      <c r="CY20" s="29">
        <v>0</v>
      </c>
      <c r="CZ20" s="29">
        <v>0</v>
      </c>
      <c r="DA20" s="29">
        <v>0</v>
      </c>
      <c r="DB20" s="29">
        <v>0</v>
      </c>
      <c r="DC20" s="29">
        <v>0</v>
      </c>
      <c r="DF20" s="29">
        <v>0</v>
      </c>
      <c r="DG20" s="29">
        <v>0</v>
      </c>
      <c r="DH20" s="29">
        <v>0</v>
      </c>
      <c r="DK20" s="29">
        <v>0</v>
      </c>
      <c r="DL20" s="29">
        <v>0</v>
      </c>
      <c r="DM20" s="29">
        <v>0</v>
      </c>
      <c r="DN20" s="29">
        <v>0</v>
      </c>
      <c r="DO20" s="29">
        <v>0</v>
      </c>
      <c r="DP20" s="29">
        <v>0</v>
      </c>
      <c r="DQ20" s="29">
        <v>0</v>
      </c>
      <c r="DR20" s="29">
        <v>0</v>
      </c>
      <c r="DU20" s="29">
        <v>0</v>
      </c>
      <c r="DV20" s="29">
        <v>0</v>
      </c>
      <c r="DW20" s="29">
        <v>0</v>
      </c>
      <c r="DX20" s="29">
        <v>0</v>
      </c>
      <c r="DY20" s="29">
        <v>0</v>
      </c>
      <c r="DZ20" s="29">
        <v>0</v>
      </c>
      <c r="EA20" s="29">
        <v>0</v>
      </c>
      <c r="EC20" s="29">
        <v>0</v>
      </c>
      <c r="EE20" s="29">
        <v>0</v>
      </c>
      <c r="EF20" s="29">
        <v>0</v>
      </c>
      <c r="EH20" s="29">
        <v>0</v>
      </c>
      <c r="EI20" s="29">
        <v>0</v>
      </c>
      <c r="EJ20" s="29">
        <v>0</v>
      </c>
      <c r="EK20" s="29">
        <v>0</v>
      </c>
      <c r="EL20" s="29">
        <v>0</v>
      </c>
      <c r="EM20" s="29">
        <v>0</v>
      </c>
      <c r="EN20" s="29">
        <v>0</v>
      </c>
      <c r="EO20" s="29">
        <v>0</v>
      </c>
      <c r="EP20" s="29">
        <v>0</v>
      </c>
      <c r="EQ20" s="29">
        <v>0</v>
      </c>
      <c r="ES20" s="29">
        <v>0</v>
      </c>
      <c r="ET20" s="29">
        <v>0</v>
      </c>
      <c r="EU20" s="29">
        <v>0</v>
      </c>
      <c r="EV20" s="29">
        <v>0</v>
      </c>
      <c r="EW20" s="29">
        <v>0</v>
      </c>
      <c r="EX20" s="29">
        <v>0</v>
      </c>
      <c r="EY20" s="29">
        <v>0</v>
      </c>
      <c r="EZ20" s="29">
        <v>0</v>
      </c>
      <c r="FA20" s="29">
        <v>0</v>
      </c>
      <c r="FB20" s="29">
        <v>0</v>
      </c>
      <c r="FC20" s="29">
        <v>0</v>
      </c>
      <c r="FD20" s="29">
        <v>0</v>
      </c>
      <c r="FE20" s="29">
        <v>0</v>
      </c>
      <c r="FF20" s="29">
        <v>0</v>
      </c>
      <c r="FG20" s="29">
        <v>0</v>
      </c>
      <c r="FH20" s="29">
        <v>0</v>
      </c>
      <c r="FK20" s="29">
        <v>0</v>
      </c>
      <c r="FN20" s="29">
        <v>0</v>
      </c>
      <c r="FO20" s="29">
        <v>0</v>
      </c>
      <c r="FQ20" s="29">
        <v>0</v>
      </c>
      <c r="FT20" s="29">
        <v>0</v>
      </c>
      <c r="FU20" s="29">
        <v>0</v>
      </c>
      <c r="FV20" s="29">
        <v>0</v>
      </c>
      <c r="FW20" s="29">
        <v>0</v>
      </c>
      <c r="FX20" s="29">
        <v>0</v>
      </c>
      <c r="FY20" s="29">
        <v>0</v>
      </c>
      <c r="FZ20" s="29">
        <v>0</v>
      </c>
      <c r="GA20" s="25" t="s">
        <v>295</v>
      </c>
      <c r="GB20" s="25"/>
      <c r="GC20" s="25" t="s">
        <v>196</v>
      </c>
      <c r="GD20" s="38" t="s">
        <v>296</v>
      </c>
      <c r="GE20" s="38"/>
      <c r="GF20" s="39"/>
      <c r="GG20" s="39"/>
    </row>
    <row r="21" spans="1:189" ht="15.6" x14ac:dyDescent="0.3">
      <c r="A21" s="25" t="s">
        <v>305</v>
      </c>
      <c r="B21" s="25">
        <v>73276</v>
      </c>
      <c r="C21" s="25"/>
      <c r="D21" s="25"/>
      <c r="E21" s="25"/>
      <c r="F21" s="25"/>
      <c r="G21" s="25"/>
      <c r="H21" s="25"/>
      <c r="I21" s="25"/>
      <c r="J21" s="25">
        <v>3</v>
      </c>
      <c r="K21" s="25" t="s">
        <v>306</v>
      </c>
      <c r="L21" s="25" t="s">
        <v>307</v>
      </c>
      <c r="M21" s="25" t="s">
        <v>308</v>
      </c>
      <c r="N21" s="26" t="s">
        <v>300</v>
      </c>
      <c r="O21" s="27">
        <v>0.41666666666666669</v>
      </c>
      <c r="P21" s="28">
        <v>46183</v>
      </c>
      <c r="Q21" s="29">
        <f t="shared" ref="Q21:R36" si="19">SUM(S21,AN21,AX21,BH21,CP21,DF21,CZ21,DO21,DY21,EI21,ES21,EV21,FT21)</f>
        <v>0</v>
      </c>
      <c r="R21" s="29">
        <f t="shared" si="19"/>
        <v>0</v>
      </c>
      <c r="S21" s="29">
        <v>0</v>
      </c>
      <c r="T21" s="29">
        <v>0</v>
      </c>
      <c r="U21" s="29">
        <v>0</v>
      </c>
      <c r="V21" s="29">
        <v>0</v>
      </c>
      <c r="W21" s="29">
        <v>0</v>
      </c>
      <c r="X21" s="29">
        <v>0</v>
      </c>
      <c r="Y21" s="29">
        <v>0</v>
      </c>
      <c r="Z21" s="29">
        <v>0</v>
      </c>
      <c r="AA21" s="29">
        <v>0</v>
      </c>
      <c r="AB21" s="29">
        <v>0</v>
      </c>
      <c r="AC21" s="29">
        <v>0</v>
      </c>
      <c r="AD21" s="29">
        <v>0</v>
      </c>
      <c r="AF21" s="29">
        <v>0</v>
      </c>
      <c r="AH21" s="29">
        <v>0</v>
      </c>
      <c r="AI21" s="29">
        <v>0</v>
      </c>
      <c r="AJ21" s="29">
        <v>0</v>
      </c>
      <c r="AK21" s="29">
        <v>0</v>
      </c>
      <c r="AL21" s="29">
        <v>0</v>
      </c>
      <c r="AM21" s="29">
        <v>0</v>
      </c>
      <c r="AN21" s="29">
        <f t="shared" ref="AN21:AO36" si="20">SUM(AJ21,AL21)</f>
        <v>0</v>
      </c>
      <c r="AO21" s="29">
        <f t="shared" si="20"/>
        <v>0</v>
      </c>
      <c r="AP21" s="29">
        <v>0</v>
      </c>
      <c r="AR21" s="29">
        <v>0</v>
      </c>
      <c r="AS21" s="29">
        <v>0</v>
      </c>
      <c r="AT21" s="29">
        <v>0</v>
      </c>
      <c r="AU21" s="29">
        <v>0</v>
      </c>
      <c r="AV21" s="29">
        <v>0</v>
      </c>
      <c r="AW21" s="29">
        <v>0</v>
      </c>
      <c r="AX21" s="29">
        <f t="shared" ref="AX21:AY36" si="21">SUM(AV21,AT21)</f>
        <v>0</v>
      </c>
      <c r="AY21" s="29">
        <f t="shared" si="21"/>
        <v>0</v>
      </c>
      <c r="AZ21" s="29">
        <v>0</v>
      </c>
      <c r="BD21" s="29">
        <v>0</v>
      </c>
      <c r="BE21" s="29">
        <v>0</v>
      </c>
      <c r="BF21" s="29">
        <v>0</v>
      </c>
      <c r="BG21" s="29">
        <v>0</v>
      </c>
      <c r="BH21" s="29">
        <f t="shared" ref="BH21:BI36" si="22">SUM(BD21,BF21)</f>
        <v>0</v>
      </c>
      <c r="BI21" s="29">
        <f t="shared" si="22"/>
        <v>0</v>
      </c>
      <c r="BJ21" s="29">
        <v>0</v>
      </c>
      <c r="BN21" s="29">
        <v>0</v>
      </c>
      <c r="BQ21" s="29">
        <v>0</v>
      </c>
      <c r="BT21" s="29">
        <v>0</v>
      </c>
      <c r="BW21" s="29">
        <v>0</v>
      </c>
      <c r="BZ21" s="29">
        <v>0</v>
      </c>
      <c r="CC21" s="29">
        <v>0</v>
      </c>
      <c r="CF21" s="29">
        <v>0</v>
      </c>
      <c r="CL21" s="29">
        <v>0</v>
      </c>
      <c r="CM21" s="29">
        <v>0</v>
      </c>
      <c r="CN21" s="29">
        <v>0</v>
      </c>
      <c r="CO21" s="29">
        <v>0</v>
      </c>
      <c r="CP21" s="29">
        <f t="shared" ref="CP21:CQ36" si="23">SUM(CL21,CN21)</f>
        <v>0</v>
      </c>
      <c r="CQ21" s="29">
        <f t="shared" si="23"/>
        <v>0</v>
      </c>
      <c r="CR21" s="29">
        <v>0</v>
      </c>
      <c r="CV21" s="29">
        <v>0</v>
      </c>
      <c r="CW21" s="29">
        <v>0</v>
      </c>
      <c r="CX21" s="29">
        <v>0</v>
      </c>
      <c r="CY21" s="29">
        <v>0</v>
      </c>
      <c r="CZ21" s="29">
        <f t="shared" ref="CZ21:DA36" si="24">SUM(CV21,CX21)</f>
        <v>0</v>
      </c>
      <c r="DA21" s="29">
        <f t="shared" si="24"/>
        <v>0</v>
      </c>
      <c r="DB21" s="29">
        <v>0</v>
      </c>
      <c r="DC21" s="29">
        <v>0</v>
      </c>
      <c r="DF21" s="29">
        <v>0</v>
      </c>
      <c r="DG21" s="29">
        <v>0</v>
      </c>
      <c r="DH21" s="29">
        <v>0</v>
      </c>
      <c r="DK21" s="29">
        <v>0</v>
      </c>
      <c r="DL21" s="29">
        <v>0</v>
      </c>
      <c r="DM21" s="29">
        <v>0</v>
      </c>
      <c r="DN21" s="29">
        <v>0</v>
      </c>
      <c r="DO21" s="29">
        <f t="shared" ref="DO21:DP36" si="25">SUM(DK21,DM21)</f>
        <v>0</v>
      </c>
      <c r="DP21" s="29">
        <f t="shared" si="25"/>
        <v>0</v>
      </c>
      <c r="DQ21" s="29">
        <v>0</v>
      </c>
      <c r="DR21" s="29">
        <v>0</v>
      </c>
      <c r="DU21" s="29">
        <v>0</v>
      </c>
      <c r="DV21" s="29">
        <v>0</v>
      </c>
      <c r="DW21" s="29">
        <v>0</v>
      </c>
      <c r="DX21" s="29">
        <v>0</v>
      </c>
      <c r="DY21" s="29">
        <f t="shared" ref="DY21:DZ36" si="26">SUM(DU21,DW21)</f>
        <v>0</v>
      </c>
      <c r="DZ21" s="29">
        <f t="shared" si="26"/>
        <v>0</v>
      </c>
      <c r="EA21" s="29">
        <v>0</v>
      </c>
      <c r="EC21" s="29">
        <v>0</v>
      </c>
      <c r="EE21" s="29">
        <v>0</v>
      </c>
      <c r="EF21" s="29">
        <v>0</v>
      </c>
      <c r="EH21" s="29">
        <v>0</v>
      </c>
      <c r="EI21" s="29">
        <f t="shared" ref="EI21:EJ36" si="27">SUM(EK21,EM21,EO21)</f>
        <v>0</v>
      </c>
      <c r="EJ21" s="29">
        <f t="shared" si="27"/>
        <v>0</v>
      </c>
      <c r="EK21" s="29">
        <v>0</v>
      </c>
      <c r="EL21" s="29">
        <v>0</v>
      </c>
      <c r="EM21" s="29">
        <v>0</v>
      </c>
      <c r="EN21" s="29">
        <v>0</v>
      </c>
      <c r="EO21" s="29">
        <v>0</v>
      </c>
      <c r="EP21" s="29">
        <v>0</v>
      </c>
      <c r="EQ21" s="29">
        <v>0</v>
      </c>
      <c r="ES21" s="29">
        <v>0</v>
      </c>
      <c r="ET21" s="29">
        <v>0</v>
      </c>
      <c r="EU21" s="29">
        <v>0</v>
      </c>
      <c r="EV21" s="29">
        <v>0</v>
      </c>
      <c r="EW21" s="29">
        <v>0</v>
      </c>
      <c r="EX21" s="29">
        <v>0</v>
      </c>
      <c r="EY21" s="29">
        <v>0</v>
      </c>
      <c r="EZ21" s="29">
        <v>0</v>
      </c>
      <c r="FA21" s="29">
        <v>0</v>
      </c>
      <c r="FB21" s="29">
        <f t="shared" ref="FB21:FB44" si="28">SUM(EX21:FA21)</f>
        <v>0</v>
      </c>
      <c r="FC21" s="29">
        <v>0</v>
      </c>
      <c r="FD21" s="29">
        <v>0</v>
      </c>
      <c r="FE21" s="29">
        <v>0</v>
      </c>
      <c r="FF21" s="29">
        <v>0</v>
      </c>
      <c r="FG21" s="29">
        <v>0</v>
      </c>
      <c r="FH21" s="29">
        <v>0</v>
      </c>
      <c r="FK21" s="29">
        <v>0</v>
      </c>
      <c r="FN21" s="29">
        <v>0</v>
      </c>
      <c r="FO21" s="29">
        <v>0</v>
      </c>
      <c r="FQ21" s="29">
        <v>0</v>
      </c>
      <c r="FT21" s="29">
        <v>0</v>
      </c>
      <c r="FU21" s="29">
        <v>0</v>
      </c>
      <c r="FV21" s="29">
        <v>0</v>
      </c>
      <c r="FW21" s="29">
        <v>0</v>
      </c>
      <c r="FX21" s="29">
        <v>0</v>
      </c>
      <c r="FY21" s="29">
        <v>0</v>
      </c>
      <c r="FZ21" s="29">
        <v>0</v>
      </c>
      <c r="GA21" s="46"/>
      <c r="GB21" s="46"/>
      <c r="GC21" s="25" t="s">
        <v>210</v>
      </c>
      <c r="GD21" s="24" t="s">
        <v>309</v>
      </c>
      <c r="GE21" s="24"/>
      <c r="GF21" s="39"/>
      <c r="GG21" s="39"/>
    </row>
    <row r="22" spans="1:189" ht="15.6" x14ac:dyDescent="0.3">
      <c r="A22" s="25" t="s">
        <v>310</v>
      </c>
      <c r="B22" s="25">
        <v>71133</v>
      </c>
      <c r="C22" s="25"/>
      <c r="D22" s="25"/>
      <c r="E22" s="25"/>
      <c r="F22" s="25"/>
      <c r="G22" s="25"/>
      <c r="H22" s="25"/>
      <c r="I22" s="25"/>
      <c r="J22" s="25">
        <v>5</v>
      </c>
      <c r="K22" s="25" t="s">
        <v>311</v>
      </c>
      <c r="L22" s="25" t="s">
        <v>312</v>
      </c>
      <c r="M22" s="25" t="s">
        <v>313</v>
      </c>
      <c r="N22" s="25" t="s">
        <v>203</v>
      </c>
      <c r="O22" s="36">
        <v>0.4291666666666667</v>
      </c>
      <c r="P22" s="37">
        <v>46235</v>
      </c>
      <c r="Q22" s="29">
        <f t="shared" si="19"/>
        <v>0</v>
      </c>
      <c r="R22" s="29">
        <f t="shared" si="19"/>
        <v>0</v>
      </c>
      <c r="S22" s="29">
        <v>0</v>
      </c>
      <c r="T22" s="29">
        <v>0</v>
      </c>
      <c r="U22" s="29">
        <v>0</v>
      </c>
      <c r="V22" s="29">
        <v>0</v>
      </c>
      <c r="W22" s="29">
        <v>0</v>
      </c>
      <c r="X22" s="29">
        <v>0</v>
      </c>
      <c r="Y22" s="29">
        <v>0</v>
      </c>
      <c r="Z22" s="29">
        <v>0</v>
      </c>
      <c r="AA22" s="29">
        <v>0</v>
      </c>
      <c r="AB22" s="29">
        <v>0</v>
      </c>
      <c r="AC22" s="29">
        <v>0</v>
      </c>
      <c r="AD22" s="29">
        <v>0</v>
      </c>
      <c r="AF22" s="29">
        <v>0</v>
      </c>
      <c r="AH22" s="29">
        <v>0</v>
      </c>
      <c r="AI22" s="29">
        <v>0</v>
      </c>
      <c r="AJ22" s="29">
        <v>0</v>
      </c>
      <c r="AK22" s="29">
        <v>0</v>
      </c>
      <c r="AL22" s="29">
        <v>0</v>
      </c>
      <c r="AM22" s="29">
        <v>0</v>
      </c>
      <c r="AN22" s="29">
        <f t="shared" si="20"/>
        <v>0</v>
      </c>
      <c r="AO22" s="29">
        <f t="shared" si="20"/>
        <v>0</v>
      </c>
      <c r="AP22" s="29">
        <v>0</v>
      </c>
      <c r="AR22" s="29">
        <v>0</v>
      </c>
      <c r="AS22" s="29">
        <v>0</v>
      </c>
      <c r="AT22" s="29">
        <v>0</v>
      </c>
      <c r="AU22" s="29">
        <v>0</v>
      </c>
      <c r="AV22" s="29">
        <v>0</v>
      </c>
      <c r="AW22" s="29">
        <v>0</v>
      </c>
      <c r="AX22" s="29">
        <f t="shared" si="21"/>
        <v>0</v>
      </c>
      <c r="AY22" s="29">
        <f t="shared" si="21"/>
        <v>0</v>
      </c>
      <c r="AZ22" s="29">
        <v>0</v>
      </c>
      <c r="BD22" s="29">
        <v>0</v>
      </c>
      <c r="BE22" s="29">
        <v>0</v>
      </c>
      <c r="BF22" s="29">
        <v>0</v>
      </c>
      <c r="BG22" s="29">
        <v>0</v>
      </c>
      <c r="BH22" s="29">
        <f t="shared" si="22"/>
        <v>0</v>
      </c>
      <c r="BI22" s="29">
        <f t="shared" si="22"/>
        <v>0</v>
      </c>
      <c r="BJ22" s="29">
        <v>0</v>
      </c>
      <c r="BN22" s="29">
        <v>0</v>
      </c>
      <c r="BQ22" s="29">
        <v>0</v>
      </c>
      <c r="BT22" s="29">
        <v>0</v>
      </c>
      <c r="BW22" s="29">
        <v>0</v>
      </c>
      <c r="BZ22" s="29">
        <v>0</v>
      </c>
      <c r="CC22" s="29">
        <v>0</v>
      </c>
      <c r="CF22" s="29">
        <v>0</v>
      </c>
      <c r="CL22" s="29">
        <v>0</v>
      </c>
      <c r="CM22" s="29">
        <v>0</v>
      </c>
      <c r="CN22" s="29">
        <v>0</v>
      </c>
      <c r="CO22" s="29">
        <v>0</v>
      </c>
      <c r="CP22" s="29">
        <f t="shared" si="23"/>
        <v>0</v>
      </c>
      <c r="CQ22" s="29">
        <f t="shared" si="23"/>
        <v>0</v>
      </c>
      <c r="CR22" s="29">
        <v>0</v>
      </c>
      <c r="CV22" s="29">
        <v>0</v>
      </c>
      <c r="CW22" s="29">
        <v>0</v>
      </c>
      <c r="CX22" s="29">
        <v>0</v>
      </c>
      <c r="CY22" s="29">
        <v>0</v>
      </c>
      <c r="CZ22" s="29">
        <f t="shared" si="24"/>
        <v>0</v>
      </c>
      <c r="DA22" s="29">
        <f t="shared" si="24"/>
        <v>0</v>
      </c>
      <c r="DB22" s="29">
        <v>0</v>
      </c>
      <c r="DC22" s="29">
        <v>0</v>
      </c>
      <c r="DF22" s="29">
        <v>0</v>
      </c>
      <c r="DG22" s="29">
        <v>0</v>
      </c>
      <c r="DH22" s="29">
        <v>0</v>
      </c>
      <c r="DK22" s="29">
        <v>0</v>
      </c>
      <c r="DL22" s="29">
        <v>0</v>
      </c>
      <c r="DM22" s="29">
        <v>0</v>
      </c>
      <c r="DN22" s="29">
        <v>0</v>
      </c>
      <c r="DO22" s="29">
        <f t="shared" si="25"/>
        <v>0</v>
      </c>
      <c r="DP22" s="29">
        <f t="shared" si="25"/>
        <v>0</v>
      </c>
      <c r="DQ22" s="29">
        <v>0</v>
      </c>
      <c r="DR22" s="29">
        <v>0</v>
      </c>
      <c r="DU22" s="29">
        <v>0</v>
      </c>
      <c r="DV22" s="29">
        <v>0</v>
      </c>
      <c r="DW22" s="29">
        <v>0</v>
      </c>
      <c r="DX22" s="29">
        <v>0</v>
      </c>
      <c r="DY22" s="29">
        <f t="shared" si="26"/>
        <v>0</v>
      </c>
      <c r="DZ22" s="29">
        <f t="shared" si="26"/>
        <v>0</v>
      </c>
      <c r="EA22" s="29">
        <v>0</v>
      </c>
      <c r="EC22" s="29">
        <v>0</v>
      </c>
      <c r="EE22" s="29">
        <v>0</v>
      </c>
      <c r="EF22" s="29">
        <v>0</v>
      </c>
      <c r="EH22" s="29">
        <v>0</v>
      </c>
      <c r="EI22" s="29">
        <f t="shared" si="27"/>
        <v>0</v>
      </c>
      <c r="EJ22" s="29">
        <f t="shared" si="27"/>
        <v>0</v>
      </c>
      <c r="EK22" s="29">
        <v>0</v>
      </c>
      <c r="EL22" s="29">
        <v>0</v>
      </c>
      <c r="EM22" s="29">
        <v>0</v>
      </c>
      <c r="EN22" s="29">
        <v>0</v>
      </c>
      <c r="EO22" s="29">
        <v>0</v>
      </c>
      <c r="EP22" s="29">
        <v>0</v>
      </c>
      <c r="EQ22" s="29">
        <v>0</v>
      </c>
      <c r="ES22" s="29">
        <v>0</v>
      </c>
      <c r="ET22" s="29">
        <v>0</v>
      </c>
      <c r="EU22" s="29">
        <v>0</v>
      </c>
      <c r="EV22" s="29">
        <v>0</v>
      </c>
      <c r="EW22" s="29">
        <v>0</v>
      </c>
      <c r="EX22" s="29">
        <v>0</v>
      </c>
      <c r="EY22" s="29">
        <v>0</v>
      </c>
      <c r="EZ22" s="29">
        <v>0</v>
      </c>
      <c r="FA22" s="29">
        <v>0</v>
      </c>
      <c r="FB22" s="29">
        <f t="shared" si="28"/>
        <v>0</v>
      </c>
      <c r="FC22" s="29">
        <v>0</v>
      </c>
      <c r="FD22" s="29">
        <v>0</v>
      </c>
      <c r="FE22" s="29">
        <v>0</v>
      </c>
      <c r="FF22" s="29">
        <v>0</v>
      </c>
      <c r="FG22" s="29">
        <v>1</v>
      </c>
      <c r="FH22" s="29">
        <v>0</v>
      </c>
      <c r="FK22" s="29">
        <v>0</v>
      </c>
      <c r="FN22" s="29">
        <v>0</v>
      </c>
      <c r="FO22" s="29">
        <v>0</v>
      </c>
      <c r="FQ22" s="29">
        <v>0</v>
      </c>
      <c r="FT22" s="29">
        <v>0</v>
      </c>
      <c r="FU22" s="29">
        <v>0</v>
      </c>
      <c r="FV22" s="29">
        <v>0</v>
      </c>
      <c r="FW22" s="29">
        <v>0</v>
      </c>
      <c r="FX22" s="29">
        <v>0</v>
      </c>
      <c r="FY22" s="29">
        <v>0</v>
      </c>
      <c r="FZ22" s="29">
        <v>0</v>
      </c>
      <c r="GA22" s="46" t="s">
        <v>314</v>
      </c>
      <c r="GB22" s="25"/>
      <c r="GC22" s="25" t="s">
        <v>210</v>
      </c>
      <c r="GD22" s="24" t="s">
        <v>315</v>
      </c>
      <c r="GE22" s="24"/>
      <c r="GF22" s="39"/>
      <c r="GG22" s="39"/>
    </row>
    <row r="23" spans="1:189" ht="15.6" x14ac:dyDescent="0.3">
      <c r="A23" s="51" t="s">
        <v>199</v>
      </c>
      <c r="B23" s="51">
        <v>72111</v>
      </c>
      <c r="C23" s="51"/>
      <c r="D23" s="51"/>
      <c r="E23" s="51"/>
      <c r="F23" s="51"/>
      <c r="G23" s="51"/>
      <c r="H23" s="51"/>
      <c r="I23" s="51"/>
      <c r="J23" s="25">
        <v>2</v>
      </c>
      <c r="K23" s="25" t="s">
        <v>316</v>
      </c>
      <c r="L23" s="25" t="s">
        <v>317</v>
      </c>
      <c r="M23" s="25" t="s">
        <v>318</v>
      </c>
      <c r="N23" s="26" t="s">
        <v>203</v>
      </c>
      <c r="O23" s="27">
        <v>0.62083333333333335</v>
      </c>
      <c r="P23" s="28">
        <v>46149</v>
      </c>
      <c r="Q23" s="29">
        <f t="shared" si="19"/>
        <v>0</v>
      </c>
      <c r="R23" s="29">
        <f t="shared" si="19"/>
        <v>0</v>
      </c>
      <c r="S23" s="29">
        <v>0</v>
      </c>
      <c r="T23" s="29">
        <v>0</v>
      </c>
      <c r="U23" s="29">
        <v>0</v>
      </c>
      <c r="V23" s="29">
        <v>0</v>
      </c>
      <c r="W23" s="29">
        <v>0</v>
      </c>
      <c r="X23" s="29">
        <v>0</v>
      </c>
      <c r="Y23" s="29">
        <v>0</v>
      </c>
      <c r="Z23" s="29">
        <v>0</v>
      </c>
      <c r="AA23" s="29">
        <v>0</v>
      </c>
      <c r="AB23" s="29">
        <v>0</v>
      </c>
      <c r="AC23" s="29">
        <v>0</v>
      </c>
      <c r="AD23" s="29">
        <v>0</v>
      </c>
      <c r="AF23" s="29">
        <v>0</v>
      </c>
      <c r="AH23" s="29">
        <v>0</v>
      </c>
      <c r="AI23" s="29">
        <v>0</v>
      </c>
      <c r="AJ23" s="29">
        <v>0</v>
      </c>
      <c r="AK23" s="29">
        <v>0</v>
      </c>
      <c r="AL23" s="29">
        <v>0</v>
      </c>
      <c r="AM23" s="29">
        <v>0</v>
      </c>
      <c r="AN23" s="29">
        <f t="shared" si="20"/>
        <v>0</v>
      </c>
      <c r="AO23" s="29">
        <f t="shared" si="20"/>
        <v>0</v>
      </c>
      <c r="AP23" s="29">
        <v>0</v>
      </c>
      <c r="AR23" s="29">
        <v>0</v>
      </c>
      <c r="AS23" s="29">
        <v>0</v>
      </c>
      <c r="AT23" s="29">
        <v>0</v>
      </c>
      <c r="AU23" s="29">
        <v>0</v>
      </c>
      <c r="AV23" s="29">
        <v>0</v>
      </c>
      <c r="AW23" s="29">
        <v>0</v>
      </c>
      <c r="AX23" s="29">
        <f t="shared" si="21"/>
        <v>0</v>
      </c>
      <c r="AY23" s="29">
        <f t="shared" si="21"/>
        <v>0</v>
      </c>
      <c r="AZ23" s="29">
        <v>0</v>
      </c>
      <c r="BD23" s="29">
        <v>0</v>
      </c>
      <c r="BE23" s="29">
        <v>0</v>
      </c>
      <c r="BF23" s="29">
        <v>0</v>
      </c>
      <c r="BG23" s="29">
        <v>0</v>
      </c>
      <c r="BH23" s="29">
        <f t="shared" si="22"/>
        <v>0</v>
      </c>
      <c r="BI23" s="29">
        <f t="shared" si="22"/>
        <v>0</v>
      </c>
      <c r="BJ23" s="29">
        <v>0</v>
      </c>
      <c r="BN23" s="29">
        <v>0</v>
      </c>
      <c r="BQ23" s="29">
        <v>0</v>
      </c>
      <c r="BT23" s="29">
        <v>0</v>
      </c>
      <c r="BW23" s="29">
        <v>0</v>
      </c>
      <c r="BZ23" s="29">
        <v>0</v>
      </c>
      <c r="CC23" s="29">
        <v>0</v>
      </c>
      <c r="CF23" s="29">
        <v>0</v>
      </c>
      <c r="CL23" s="29">
        <v>0</v>
      </c>
      <c r="CM23" s="29">
        <v>0</v>
      </c>
      <c r="CN23" s="29">
        <v>0</v>
      </c>
      <c r="CO23" s="29">
        <v>0</v>
      </c>
      <c r="CP23" s="29">
        <f t="shared" si="23"/>
        <v>0</v>
      </c>
      <c r="CQ23" s="29">
        <f t="shared" si="23"/>
        <v>0</v>
      </c>
      <c r="CR23" s="29">
        <v>0</v>
      </c>
      <c r="CV23" s="29">
        <v>0</v>
      </c>
      <c r="CW23" s="29">
        <v>0</v>
      </c>
      <c r="CX23" s="29">
        <v>0</v>
      </c>
      <c r="CY23" s="29">
        <v>0</v>
      </c>
      <c r="CZ23" s="29">
        <f t="shared" si="24"/>
        <v>0</v>
      </c>
      <c r="DA23" s="29">
        <f t="shared" si="24"/>
        <v>0</v>
      </c>
      <c r="DB23" s="29">
        <v>0</v>
      </c>
      <c r="DC23" s="29">
        <v>0</v>
      </c>
      <c r="DF23" s="29">
        <v>0</v>
      </c>
      <c r="DG23" s="29">
        <v>0</v>
      </c>
      <c r="DH23" s="29">
        <v>0</v>
      </c>
      <c r="DK23" s="29">
        <v>0</v>
      </c>
      <c r="DL23" s="29">
        <v>0</v>
      </c>
      <c r="DM23" s="29">
        <v>0</v>
      </c>
      <c r="DN23" s="29">
        <v>0</v>
      </c>
      <c r="DO23" s="29">
        <f t="shared" si="25"/>
        <v>0</v>
      </c>
      <c r="DP23" s="29">
        <f t="shared" si="25"/>
        <v>0</v>
      </c>
      <c r="DQ23" s="29">
        <v>0</v>
      </c>
      <c r="DR23" s="29">
        <v>0</v>
      </c>
      <c r="DU23" s="29">
        <v>0</v>
      </c>
      <c r="DV23" s="29">
        <v>0</v>
      </c>
      <c r="DW23" s="29">
        <v>0</v>
      </c>
      <c r="DX23" s="29">
        <v>0</v>
      </c>
      <c r="DY23" s="29">
        <f t="shared" si="26"/>
        <v>0</v>
      </c>
      <c r="DZ23" s="29">
        <f t="shared" si="26"/>
        <v>0</v>
      </c>
      <c r="EA23" s="29">
        <v>0</v>
      </c>
      <c r="EC23" s="29">
        <v>0</v>
      </c>
      <c r="EE23" s="29">
        <v>0</v>
      </c>
      <c r="EF23" s="29">
        <v>0</v>
      </c>
      <c r="EH23" s="29">
        <v>0</v>
      </c>
      <c r="EI23" s="29">
        <f t="shared" si="27"/>
        <v>0</v>
      </c>
      <c r="EJ23" s="29">
        <f t="shared" si="27"/>
        <v>0</v>
      </c>
      <c r="EK23" s="29">
        <v>0</v>
      </c>
      <c r="EL23" s="29">
        <v>0</v>
      </c>
      <c r="EM23" s="29">
        <v>0</v>
      </c>
      <c r="EN23" s="29">
        <v>0</v>
      </c>
      <c r="EO23" s="29">
        <v>0</v>
      </c>
      <c r="EP23" s="29">
        <v>0</v>
      </c>
      <c r="EQ23" s="29">
        <v>0</v>
      </c>
      <c r="ES23" s="29">
        <v>0</v>
      </c>
      <c r="ET23" s="29">
        <v>0</v>
      </c>
      <c r="EU23" s="29">
        <v>0</v>
      </c>
      <c r="EV23" s="29">
        <v>0</v>
      </c>
      <c r="EW23" s="29">
        <v>0</v>
      </c>
      <c r="EX23" s="29">
        <v>0</v>
      </c>
      <c r="EY23" s="29">
        <v>0</v>
      </c>
      <c r="EZ23" s="29">
        <v>0</v>
      </c>
      <c r="FA23" s="29">
        <v>0</v>
      </c>
      <c r="FB23" s="29">
        <f t="shared" si="28"/>
        <v>0</v>
      </c>
      <c r="FC23" s="29">
        <v>0</v>
      </c>
      <c r="FD23" s="29">
        <v>0</v>
      </c>
      <c r="FE23" s="29">
        <v>0</v>
      </c>
      <c r="FF23" s="29">
        <v>0</v>
      </c>
      <c r="FG23" s="29">
        <v>0</v>
      </c>
      <c r="FH23" s="29">
        <v>0</v>
      </c>
      <c r="FK23" s="29">
        <v>0</v>
      </c>
      <c r="FN23" s="29">
        <v>0</v>
      </c>
      <c r="FO23" s="29">
        <v>0</v>
      </c>
      <c r="FQ23" s="29">
        <v>0</v>
      </c>
      <c r="FT23" s="29">
        <v>0</v>
      </c>
      <c r="FU23" s="29">
        <v>0</v>
      </c>
      <c r="FV23" s="29">
        <v>0</v>
      </c>
      <c r="FW23" s="29">
        <v>0</v>
      </c>
      <c r="FX23" s="29">
        <v>0</v>
      </c>
      <c r="FY23" s="29">
        <v>0</v>
      </c>
      <c r="FZ23" s="29">
        <v>0</v>
      </c>
      <c r="GA23" s="25"/>
      <c r="GB23" s="25"/>
      <c r="GC23" s="25" t="s">
        <v>196</v>
      </c>
      <c r="GD23" s="31" t="s">
        <v>319</v>
      </c>
      <c r="GE23" s="31"/>
      <c r="GF23" s="32"/>
      <c r="GG23" s="32"/>
    </row>
    <row r="24" spans="1:189" ht="15.6" x14ac:dyDescent="0.3">
      <c r="A24" s="34" t="s">
        <v>320</v>
      </c>
      <c r="B24" s="34">
        <v>62296</v>
      </c>
      <c r="C24" s="52"/>
      <c r="D24" s="52"/>
      <c r="E24" s="52"/>
      <c r="F24" s="52"/>
      <c r="G24" s="52"/>
      <c r="H24" s="52"/>
      <c r="I24" s="52"/>
      <c r="J24" s="34">
        <v>2</v>
      </c>
      <c r="K24" s="26" t="s">
        <v>321</v>
      </c>
      <c r="L24" s="26" t="s">
        <v>322</v>
      </c>
      <c r="M24" s="34" t="s">
        <v>323</v>
      </c>
      <c r="N24" s="34" t="s">
        <v>324</v>
      </c>
      <c r="O24" s="53">
        <v>0.6777777777777777</v>
      </c>
      <c r="P24" s="54">
        <v>46157</v>
      </c>
      <c r="Q24" s="29">
        <f t="shared" si="19"/>
        <v>0</v>
      </c>
      <c r="R24" s="29">
        <f t="shared" si="19"/>
        <v>0</v>
      </c>
      <c r="S24" s="29">
        <v>0</v>
      </c>
      <c r="T24" s="29">
        <v>0</v>
      </c>
      <c r="U24" s="29">
        <v>0</v>
      </c>
      <c r="V24" s="29">
        <v>0</v>
      </c>
      <c r="W24" s="29">
        <v>0</v>
      </c>
      <c r="X24" s="29">
        <v>0</v>
      </c>
      <c r="Y24" s="29">
        <v>0</v>
      </c>
      <c r="Z24" s="29">
        <v>0</v>
      </c>
      <c r="AA24" s="29">
        <v>0</v>
      </c>
      <c r="AB24" s="29">
        <v>0</v>
      </c>
      <c r="AC24" s="29">
        <v>0</v>
      </c>
      <c r="AD24" s="29">
        <v>0</v>
      </c>
      <c r="AF24" s="29">
        <v>0</v>
      </c>
      <c r="AH24" s="29">
        <v>0</v>
      </c>
      <c r="AI24" s="29">
        <v>0</v>
      </c>
      <c r="AJ24" s="29">
        <v>0</v>
      </c>
      <c r="AK24" s="29">
        <v>0</v>
      </c>
      <c r="AL24" s="29">
        <v>0</v>
      </c>
      <c r="AM24" s="29">
        <v>0</v>
      </c>
      <c r="AN24" s="29">
        <f t="shared" si="20"/>
        <v>0</v>
      </c>
      <c r="AO24" s="29">
        <f t="shared" si="20"/>
        <v>0</v>
      </c>
      <c r="AP24" s="29">
        <v>0</v>
      </c>
      <c r="AR24" s="29">
        <v>0</v>
      </c>
      <c r="AS24" s="29">
        <v>0</v>
      </c>
      <c r="AT24" s="29">
        <v>0</v>
      </c>
      <c r="AU24" s="29">
        <v>0</v>
      </c>
      <c r="AV24" s="29">
        <v>0</v>
      </c>
      <c r="AW24" s="29">
        <v>0</v>
      </c>
      <c r="AX24" s="29">
        <f t="shared" si="21"/>
        <v>0</v>
      </c>
      <c r="AY24" s="29">
        <f t="shared" si="21"/>
        <v>0</v>
      </c>
      <c r="AZ24" s="29">
        <v>0</v>
      </c>
      <c r="BD24" s="29">
        <v>0</v>
      </c>
      <c r="BE24" s="29">
        <v>0</v>
      </c>
      <c r="BF24" s="29">
        <v>0</v>
      </c>
      <c r="BG24" s="29">
        <v>0</v>
      </c>
      <c r="BH24" s="29">
        <f t="shared" si="22"/>
        <v>0</v>
      </c>
      <c r="BI24" s="29">
        <f t="shared" si="22"/>
        <v>0</v>
      </c>
      <c r="BJ24" s="29">
        <v>0</v>
      </c>
      <c r="BN24" s="29">
        <v>0</v>
      </c>
      <c r="BQ24" s="29">
        <v>0</v>
      </c>
      <c r="BT24" s="29">
        <v>0</v>
      </c>
      <c r="BW24" s="29">
        <v>0</v>
      </c>
      <c r="BZ24" s="29">
        <v>0</v>
      </c>
      <c r="CC24" s="29">
        <v>0</v>
      </c>
      <c r="CF24" s="29">
        <v>0</v>
      </c>
      <c r="CL24" s="29">
        <v>0</v>
      </c>
      <c r="CM24" s="29">
        <v>0</v>
      </c>
      <c r="CN24" s="29">
        <v>0</v>
      </c>
      <c r="CO24" s="29">
        <v>0</v>
      </c>
      <c r="CP24" s="29">
        <f t="shared" si="23"/>
        <v>0</v>
      </c>
      <c r="CQ24" s="29">
        <f t="shared" si="23"/>
        <v>0</v>
      </c>
      <c r="CR24" s="29">
        <v>0</v>
      </c>
      <c r="CV24" s="29">
        <v>0</v>
      </c>
      <c r="CW24" s="29">
        <v>0</v>
      </c>
      <c r="CX24" s="29">
        <v>0</v>
      </c>
      <c r="CY24" s="29">
        <v>0</v>
      </c>
      <c r="CZ24" s="29">
        <f t="shared" si="24"/>
        <v>0</v>
      </c>
      <c r="DA24" s="29">
        <f t="shared" si="24"/>
        <v>0</v>
      </c>
      <c r="DB24" s="29">
        <v>0</v>
      </c>
      <c r="DC24" s="29">
        <v>0</v>
      </c>
      <c r="DF24" s="29">
        <v>0</v>
      </c>
      <c r="DG24" s="29">
        <v>0</v>
      </c>
      <c r="DH24" s="29">
        <v>0</v>
      </c>
      <c r="DK24" s="29">
        <v>0</v>
      </c>
      <c r="DL24" s="29">
        <v>0</v>
      </c>
      <c r="DM24" s="29">
        <v>0</v>
      </c>
      <c r="DN24" s="29">
        <v>0</v>
      </c>
      <c r="DO24" s="29">
        <f t="shared" si="25"/>
        <v>0</v>
      </c>
      <c r="DP24" s="29">
        <f t="shared" si="25"/>
        <v>0</v>
      </c>
      <c r="DQ24" s="29">
        <v>0</v>
      </c>
      <c r="DR24" s="29">
        <v>0</v>
      </c>
      <c r="DU24" s="29">
        <v>0</v>
      </c>
      <c r="DV24" s="29">
        <v>0</v>
      </c>
      <c r="DW24" s="29">
        <v>0</v>
      </c>
      <c r="DX24" s="29">
        <v>0</v>
      </c>
      <c r="DY24" s="29">
        <f t="shared" si="26"/>
        <v>0</v>
      </c>
      <c r="DZ24" s="29">
        <f t="shared" si="26"/>
        <v>0</v>
      </c>
      <c r="EA24" s="29">
        <v>0</v>
      </c>
      <c r="EC24" s="29">
        <v>0</v>
      </c>
      <c r="EE24" s="29">
        <v>0</v>
      </c>
      <c r="EF24" s="29">
        <v>0</v>
      </c>
      <c r="EH24" s="29">
        <v>0</v>
      </c>
      <c r="EI24" s="29">
        <f t="shared" si="27"/>
        <v>0</v>
      </c>
      <c r="EJ24" s="29">
        <f t="shared" si="27"/>
        <v>0</v>
      </c>
      <c r="EK24" s="29">
        <v>0</v>
      </c>
      <c r="EL24" s="29">
        <v>0</v>
      </c>
      <c r="EM24" s="29">
        <v>0</v>
      </c>
      <c r="EN24" s="29">
        <v>0</v>
      </c>
      <c r="EO24" s="29">
        <v>0</v>
      </c>
      <c r="EP24" s="29">
        <v>0</v>
      </c>
      <c r="EQ24" s="29">
        <v>0</v>
      </c>
      <c r="ES24" s="29">
        <v>0</v>
      </c>
      <c r="ET24" s="29">
        <v>0</v>
      </c>
      <c r="EU24" s="29">
        <v>0</v>
      </c>
      <c r="EV24" s="29">
        <v>0</v>
      </c>
      <c r="EW24" s="29">
        <v>0</v>
      </c>
      <c r="EX24" s="29">
        <v>0</v>
      </c>
      <c r="EY24" s="29">
        <v>0</v>
      </c>
      <c r="EZ24" s="29">
        <v>0</v>
      </c>
      <c r="FA24" s="29">
        <v>0</v>
      </c>
      <c r="FB24" s="29">
        <f t="shared" si="28"/>
        <v>0</v>
      </c>
      <c r="FC24" s="29">
        <v>0</v>
      </c>
      <c r="FD24" s="29">
        <v>0</v>
      </c>
      <c r="FE24" s="29">
        <v>0</v>
      </c>
      <c r="FF24" s="29">
        <v>0</v>
      </c>
      <c r="FG24" s="29">
        <v>0</v>
      </c>
      <c r="FH24" s="29">
        <v>0</v>
      </c>
      <c r="FK24" s="29">
        <v>0</v>
      </c>
      <c r="FN24" s="29">
        <v>0</v>
      </c>
      <c r="FO24" s="29">
        <v>0</v>
      </c>
      <c r="FQ24" s="29">
        <v>0</v>
      </c>
      <c r="FT24" s="29">
        <v>0</v>
      </c>
      <c r="FU24" s="29">
        <v>0</v>
      </c>
      <c r="FV24" s="29">
        <v>0</v>
      </c>
      <c r="FW24" s="29">
        <v>0</v>
      </c>
      <c r="FX24" s="29">
        <v>0</v>
      </c>
      <c r="FY24" s="29">
        <v>0</v>
      </c>
      <c r="FZ24" s="29">
        <v>0</v>
      </c>
      <c r="GC24" s="34" t="s">
        <v>260</v>
      </c>
      <c r="GD24" s="29" t="s">
        <v>325</v>
      </c>
      <c r="GF24" s="35"/>
      <c r="GG24" s="35"/>
    </row>
    <row r="25" spans="1:189" ht="15.6" x14ac:dyDescent="0.3">
      <c r="A25" s="52" t="s">
        <v>326</v>
      </c>
      <c r="B25" s="34">
        <v>72241</v>
      </c>
      <c r="J25" s="34">
        <v>2</v>
      </c>
      <c r="K25" s="55" t="s">
        <v>327</v>
      </c>
      <c r="L25" s="55" t="s">
        <v>328</v>
      </c>
      <c r="M25" s="34" t="s">
        <v>329</v>
      </c>
      <c r="N25" s="34" t="s">
        <v>203</v>
      </c>
      <c r="O25" s="53">
        <v>0.63124999999999998</v>
      </c>
      <c r="P25" s="54">
        <v>46166</v>
      </c>
      <c r="Q25" s="29">
        <f t="shared" si="19"/>
        <v>0</v>
      </c>
      <c r="R25" s="29">
        <f t="shared" si="19"/>
        <v>0</v>
      </c>
      <c r="S25" s="29">
        <v>0</v>
      </c>
      <c r="T25" s="29">
        <v>0</v>
      </c>
      <c r="U25" s="29">
        <v>0</v>
      </c>
      <c r="V25" s="29">
        <v>0</v>
      </c>
      <c r="W25" s="29">
        <v>0</v>
      </c>
      <c r="X25" s="29">
        <v>0</v>
      </c>
      <c r="Y25" s="29">
        <v>0</v>
      </c>
      <c r="Z25" s="29">
        <v>0</v>
      </c>
      <c r="AA25" s="29">
        <v>0</v>
      </c>
      <c r="AB25" s="29">
        <v>0</v>
      </c>
      <c r="AC25" s="29">
        <v>0</v>
      </c>
      <c r="AD25" s="29">
        <v>0</v>
      </c>
      <c r="AF25" s="29">
        <v>0</v>
      </c>
      <c r="AH25" s="29">
        <v>0</v>
      </c>
      <c r="AI25" s="29">
        <v>0</v>
      </c>
      <c r="AJ25" s="29">
        <v>0</v>
      </c>
      <c r="AK25" s="29">
        <v>0</v>
      </c>
      <c r="AL25" s="29">
        <v>0</v>
      </c>
      <c r="AM25" s="29">
        <v>0</v>
      </c>
      <c r="AN25" s="29">
        <f t="shared" si="20"/>
        <v>0</v>
      </c>
      <c r="AO25" s="29">
        <f t="shared" si="20"/>
        <v>0</v>
      </c>
      <c r="AP25" s="29">
        <v>0</v>
      </c>
      <c r="AR25" s="29">
        <v>0</v>
      </c>
      <c r="AS25" s="29">
        <v>0</v>
      </c>
      <c r="AT25" s="29">
        <v>0</v>
      </c>
      <c r="AU25" s="29">
        <v>0</v>
      </c>
      <c r="AV25" s="29">
        <v>0</v>
      </c>
      <c r="AW25" s="29">
        <v>0</v>
      </c>
      <c r="AX25" s="29">
        <f t="shared" si="21"/>
        <v>0</v>
      </c>
      <c r="AY25" s="29">
        <f t="shared" si="21"/>
        <v>0</v>
      </c>
      <c r="AZ25" s="29">
        <v>0</v>
      </c>
      <c r="BD25" s="29">
        <v>0</v>
      </c>
      <c r="BE25" s="29">
        <v>0</v>
      </c>
      <c r="BF25" s="29">
        <v>0</v>
      </c>
      <c r="BG25" s="29">
        <v>0</v>
      </c>
      <c r="BH25" s="29">
        <f t="shared" si="22"/>
        <v>0</v>
      </c>
      <c r="BI25" s="29">
        <f t="shared" si="22"/>
        <v>0</v>
      </c>
      <c r="BJ25" s="29">
        <v>0</v>
      </c>
      <c r="BN25" s="29">
        <v>0</v>
      </c>
      <c r="BQ25" s="29">
        <v>0</v>
      </c>
      <c r="BT25" s="29">
        <v>0</v>
      </c>
      <c r="BW25" s="29">
        <v>0</v>
      </c>
      <c r="BZ25" s="29">
        <v>0</v>
      </c>
      <c r="CC25" s="29">
        <v>0</v>
      </c>
      <c r="CF25" s="29">
        <v>0</v>
      </c>
      <c r="CL25" s="29">
        <v>0</v>
      </c>
      <c r="CM25" s="29">
        <v>0</v>
      </c>
      <c r="CN25" s="29">
        <v>0</v>
      </c>
      <c r="CO25" s="29">
        <v>0</v>
      </c>
      <c r="CP25" s="29">
        <f t="shared" si="23"/>
        <v>0</v>
      </c>
      <c r="CQ25" s="29">
        <f t="shared" si="23"/>
        <v>0</v>
      </c>
      <c r="CR25" s="29">
        <v>0</v>
      </c>
      <c r="CV25" s="29">
        <v>0</v>
      </c>
      <c r="CW25" s="29">
        <v>0</v>
      </c>
      <c r="CX25" s="29">
        <v>0</v>
      </c>
      <c r="CY25" s="29">
        <v>0</v>
      </c>
      <c r="CZ25" s="29">
        <f t="shared" si="24"/>
        <v>0</v>
      </c>
      <c r="DA25" s="29">
        <f t="shared" si="24"/>
        <v>0</v>
      </c>
      <c r="DB25" s="29">
        <v>0</v>
      </c>
      <c r="DC25" s="29">
        <v>0</v>
      </c>
      <c r="DF25" s="29">
        <v>0</v>
      </c>
      <c r="DG25" s="29">
        <v>0</v>
      </c>
      <c r="DH25" s="29">
        <v>0</v>
      </c>
      <c r="DK25" s="29">
        <v>0</v>
      </c>
      <c r="DL25" s="29">
        <v>0</v>
      </c>
      <c r="DM25" s="29">
        <v>0</v>
      </c>
      <c r="DN25" s="29">
        <v>0</v>
      </c>
      <c r="DO25" s="29">
        <f t="shared" si="25"/>
        <v>0</v>
      </c>
      <c r="DP25" s="29">
        <f t="shared" si="25"/>
        <v>0</v>
      </c>
      <c r="DQ25" s="29">
        <v>0</v>
      </c>
      <c r="DR25" s="29">
        <v>0</v>
      </c>
      <c r="DU25" s="29">
        <v>0</v>
      </c>
      <c r="DV25" s="29">
        <v>0</v>
      </c>
      <c r="DW25" s="29">
        <v>0</v>
      </c>
      <c r="DX25" s="29">
        <v>0</v>
      </c>
      <c r="DY25" s="29">
        <f t="shared" si="26"/>
        <v>0</v>
      </c>
      <c r="DZ25" s="29">
        <f t="shared" si="26"/>
        <v>0</v>
      </c>
      <c r="EA25" s="29">
        <v>0</v>
      </c>
      <c r="EC25" s="29">
        <v>0</v>
      </c>
      <c r="EE25" s="29">
        <v>0</v>
      </c>
      <c r="EF25" s="29">
        <v>0</v>
      </c>
      <c r="EH25" s="29">
        <v>0</v>
      </c>
      <c r="EI25" s="29">
        <f t="shared" si="27"/>
        <v>0</v>
      </c>
      <c r="EJ25" s="29">
        <f t="shared" si="27"/>
        <v>0</v>
      </c>
      <c r="EK25" s="29">
        <v>0</v>
      </c>
      <c r="EL25" s="29">
        <v>0</v>
      </c>
      <c r="EM25" s="29">
        <v>0</v>
      </c>
      <c r="EN25" s="29">
        <v>0</v>
      </c>
      <c r="EO25" s="29">
        <v>0</v>
      </c>
      <c r="EP25" s="29">
        <v>0</v>
      </c>
      <c r="EQ25" s="29">
        <v>0</v>
      </c>
      <c r="ES25" s="29">
        <v>0</v>
      </c>
      <c r="ET25" s="29">
        <v>0</v>
      </c>
      <c r="EU25" s="29">
        <v>0</v>
      </c>
      <c r="EV25" s="29">
        <v>0</v>
      </c>
      <c r="EW25" s="29">
        <v>0</v>
      </c>
      <c r="EX25" s="29">
        <v>0</v>
      </c>
      <c r="EY25" s="29">
        <v>0</v>
      </c>
      <c r="EZ25" s="29">
        <v>0</v>
      </c>
      <c r="FA25" s="29">
        <v>0</v>
      </c>
      <c r="FB25" s="29">
        <f t="shared" si="28"/>
        <v>0</v>
      </c>
      <c r="FC25" s="29">
        <v>0</v>
      </c>
      <c r="FD25" s="29">
        <v>0</v>
      </c>
      <c r="FE25" s="29">
        <v>0</v>
      </c>
      <c r="FF25" s="29">
        <v>0</v>
      </c>
      <c r="FG25" s="29">
        <v>0</v>
      </c>
      <c r="FH25" s="29">
        <v>0</v>
      </c>
      <c r="FK25" s="29">
        <v>0</v>
      </c>
      <c r="FN25" s="29">
        <v>0</v>
      </c>
      <c r="FO25" s="29">
        <v>0</v>
      </c>
      <c r="FQ25" s="29">
        <v>0</v>
      </c>
      <c r="FT25" s="29">
        <v>0</v>
      </c>
      <c r="FU25" s="29">
        <v>0</v>
      </c>
      <c r="FV25" s="29">
        <v>0</v>
      </c>
      <c r="FW25" s="29">
        <v>0</v>
      </c>
      <c r="FX25" s="29">
        <v>0</v>
      </c>
      <c r="FY25" s="29">
        <v>0</v>
      </c>
      <c r="FZ25" s="29">
        <v>0</v>
      </c>
      <c r="GC25" s="52" t="s">
        <v>196</v>
      </c>
      <c r="GD25" s="29" t="s">
        <v>330</v>
      </c>
    </row>
    <row r="26" spans="1:189" ht="15.6" x14ac:dyDescent="0.3">
      <c r="A26" s="26" t="s">
        <v>331</v>
      </c>
      <c r="B26" s="26">
        <v>73127</v>
      </c>
      <c r="C26" s="26"/>
      <c r="D26" s="26"/>
      <c r="E26" s="26"/>
      <c r="F26" s="26"/>
      <c r="G26" s="26"/>
      <c r="H26" s="26"/>
      <c r="I26" s="26"/>
      <c r="J26" s="25">
        <v>3</v>
      </c>
      <c r="K26" s="26" t="s">
        <v>332</v>
      </c>
      <c r="L26" s="26" t="s">
        <v>333</v>
      </c>
      <c r="M26" s="26" t="s">
        <v>334</v>
      </c>
      <c r="N26" s="26" t="s">
        <v>335</v>
      </c>
      <c r="O26" s="27">
        <v>0.54375000000000007</v>
      </c>
      <c r="P26" s="28">
        <v>46198</v>
      </c>
      <c r="Q26" s="29">
        <f t="shared" si="19"/>
        <v>0</v>
      </c>
      <c r="R26" s="29">
        <f t="shared" si="19"/>
        <v>0</v>
      </c>
      <c r="S26" s="29">
        <v>0</v>
      </c>
      <c r="T26" s="29">
        <v>0</v>
      </c>
      <c r="U26" s="29">
        <v>0</v>
      </c>
      <c r="V26" s="29">
        <v>0</v>
      </c>
      <c r="W26" s="29">
        <v>0</v>
      </c>
      <c r="X26" s="29">
        <v>0</v>
      </c>
      <c r="Y26" s="29">
        <v>0</v>
      </c>
      <c r="Z26" s="29">
        <v>0</v>
      </c>
      <c r="AA26" s="29">
        <v>0</v>
      </c>
      <c r="AB26" s="29">
        <v>0</v>
      </c>
      <c r="AC26" s="29">
        <v>0</v>
      </c>
      <c r="AD26" s="29">
        <v>1</v>
      </c>
      <c r="AE26" s="29" t="s">
        <v>336</v>
      </c>
      <c r="AF26" s="29">
        <v>0</v>
      </c>
      <c r="AH26" s="29">
        <v>0</v>
      </c>
      <c r="AI26" s="29">
        <v>0</v>
      </c>
      <c r="AJ26" s="29">
        <v>0</v>
      </c>
      <c r="AK26" s="29">
        <v>0</v>
      </c>
      <c r="AL26" s="29">
        <v>0</v>
      </c>
      <c r="AM26" s="29">
        <v>0</v>
      </c>
      <c r="AN26" s="29">
        <f t="shared" si="20"/>
        <v>0</v>
      </c>
      <c r="AO26" s="29">
        <f t="shared" si="20"/>
        <v>0</v>
      </c>
      <c r="AP26" s="29">
        <v>0</v>
      </c>
      <c r="AR26" s="29">
        <v>0</v>
      </c>
      <c r="AS26" s="29">
        <v>0</v>
      </c>
      <c r="AT26" s="29">
        <v>0</v>
      </c>
      <c r="AU26" s="29">
        <v>0</v>
      </c>
      <c r="AV26" s="29">
        <v>0</v>
      </c>
      <c r="AW26" s="29">
        <v>0</v>
      </c>
      <c r="AX26" s="29">
        <f t="shared" si="21"/>
        <v>0</v>
      </c>
      <c r="AY26" s="29">
        <f t="shared" si="21"/>
        <v>0</v>
      </c>
      <c r="AZ26" s="29">
        <v>0</v>
      </c>
      <c r="BD26" s="29">
        <v>0</v>
      </c>
      <c r="BE26" s="29">
        <v>0</v>
      </c>
      <c r="BF26" s="29">
        <v>0</v>
      </c>
      <c r="BG26" s="29">
        <v>0</v>
      </c>
      <c r="BH26" s="29">
        <f t="shared" si="22"/>
        <v>0</v>
      </c>
      <c r="BI26" s="29">
        <f t="shared" si="22"/>
        <v>0</v>
      </c>
      <c r="BJ26" s="29">
        <v>0</v>
      </c>
      <c r="BN26" s="29">
        <v>0</v>
      </c>
      <c r="BQ26" s="29">
        <v>0</v>
      </c>
      <c r="BT26" s="29">
        <v>0</v>
      </c>
      <c r="BW26" s="29">
        <v>0</v>
      </c>
      <c r="BZ26" s="29">
        <v>0</v>
      </c>
      <c r="CC26" s="29">
        <v>0</v>
      </c>
      <c r="CF26" s="29">
        <v>0</v>
      </c>
      <c r="CL26" s="29">
        <v>0</v>
      </c>
      <c r="CM26" s="29">
        <v>0</v>
      </c>
      <c r="CN26" s="29">
        <v>0</v>
      </c>
      <c r="CO26" s="29">
        <v>0</v>
      </c>
      <c r="CP26" s="29">
        <f t="shared" si="23"/>
        <v>0</v>
      </c>
      <c r="CQ26" s="29">
        <f t="shared" si="23"/>
        <v>0</v>
      </c>
      <c r="CR26" s="29">
        <v>0</v>
      </c>
      <c r="CV26" s="29">
        <v>0</v>
      </c>
      <c r="CW26" s="29">
        <v>0</v>
      </c>
      <c r="CX26" s="29">
        <v>0</v>
      </c>
      <c r="CY26" s="29">
        <v>0</v>
      </c>
      <c r="CZ26" s="29">
        <f t="shared" si="24"/>
        <v>0</v>
      </c>
      <c r="DA26" s="29">
        <f t="shared" si="24"/>
        <v>0</v>
      </c>
      <c r="DB26" s="29">
        <v>0</v>
      </c>
      <c r="DC26" s="29">
        <v>0</v>
      </c>
      <c r="DF26" s="29">
        <v>0</v>
      </c>
      <c r="DG26" s="29">
        <v>0</v>
      </c>
      <c r="DH26" s="29">
        <v>0</v>
      </c>
      <c r="DK26" s="29">
        <v>0</v>
      </c>
      <c r="DL26" s="29">
        <v>0</v>
      </c>
      <c r="DM26" s="29">
        <v>0</v>
      </c>
      <c r="DN26" s="29">
        <v>0</v>
      </c>
      <c r="DO26" s="29">
        <f t="shared" si="25"/>
        <v>0</v>
      </c>
      <c r="DP26" s="29">
        <f t="shared" si="25"/>
        <v>0</v>
      </c>
      <c r="DQ26" s="29">
        <v>0</v>
      </c>
      <c r="DR26" s="29">
        <v>0</v>
      </c>
      <c r="DU26" s="29">
        <v>0</v>
      </c>
      <c r="DV26" s="29">
        <v>0</v>
      </c>
      <c r="DW26" s="29">
        <v>0</v>
      </c>
      <c r="DX26" s="29">
        <v>0</v>
      </c>
      <c r="DY26" s="29">
        <f t="shared" si="26"/>
        <v>0</v>
      </c>
      <c r="DZ26" s="29">
        <f t="shared" si="26"/>
        <v>0</v>
      </c>
      <c r="EA26" s="29">
        <v>0</v>
      </c>
      <c r="EC26" s="29">
        <v>0</v>
      </c>
      <c r="EE26" s="29">
        <v>0</v>
      </c>
      <c r="EF26" s="29">
        <v>0</v>
      </c>
      <c r="EH26" s="29">
        <v>0</v>
      </c>
      <c r="EI26" s="29">
        <f t="shared" si="27"/>
        <v>0</v>
      </c>
      <c r="EJ26" s="29">
        <f t="shared" si="27"/>
        <v>0</v>
      </c>
      <c r="EK26" s="29">
        <v>0</v>
      </c>
      <c r="EL26" s="29">
        <v>0</v>
      </c>
      <c r="EM26" s="29">
        <v>0</v>
      </c>
      <c r="EN26" s="29">
        <v>0</v>
      </c>
      <c r="EO26" s="29">
        <v>0</v>
      </c>
      <c r="EP26" s="29">
        <v>0</v>
      </c>
      <c r="EQ26" s="29">
        <v>0</v>
      </c>
      <c r="ES26" s="29">
        <v>0</v>
      </c>
      <c r="ET26" s="29">
        <v>0</v>
      </c>
      <c r="EU26" s="29">
        <v>0</v>
      </c>
      <c r="EV26" s="29">
        <v>0</v>
      </c>
      <c r="EW26" s="29">
        <v>0</v>
      </c>
      <c r="EX26" s="29">
        <v>0</v>
      </c>
      <c r="EY26" s="29">
        <v>0</v>
      </c>
      <c r="EZ26" s="29">
        <v>0</v>
      </c>
      <c r="FA26" s="29">
        <v>0</v>
      </c>
      <c r="FB26" s="29">
        <f t="shared" si="28"/>
        <v>0</v>
      </c>
      <c r="FC26" s="29">
        <v>0</v>
      </c>
      <c r="FD26" s="29">
        <v>0</v>
      </c>
      <c r="FE26" s="29">
        <v>0</v>
      </c>
      <c r="FF26" s="29">
        <v>0</v>
      </c>
      <c r="FG26" s="29">
        <v>0</v>
      </c>
      <c r="FH26" s="29">
        <v>0</v>
      </c>
      <c r="FK26" s="29">
        <v>0</v>
      </c>
      <c r="FN26" s="29">
        <v>0</v>
      </c>
      <c r="FO26" s="29">
        <v>0</v>
      </c>
      <c r="FQ26" s="29">
        <v>0</v>
      </c>
      <c r="FT26" s="29">
        <v>0</v>
      </c>
      <c r="FU26" s="29">
        <v>0</v>
      </c>
      <c r="FV26" s="29">
        <v>0</v>
      </c>
      <c r="FW26" s="29">
        <v>0</v>
      </c>
      <c r="FX26" s="29">
        <v>0</v>
      </c>
      <c r="FY26" s="29">
        <v>0</v>
      </c>
      <c r="FZ26" s="29">
        <v>0</v>
      </c>
      <c r="GA26" s="26"/>
      <c r="GB26" s="26"/>
      <c r="GC26" s="25" t="s">
        <v>196</v>
      </c>
      <c r="GD26" s="56" t="s">
        <v>337</v>
      </c>
      <c r="GE26" s="56"/>
      <c r="GF26" s="56"/>
      <c r="GG26" s="56"/>
    </row>
    <row r="27" spans="1:189" ht="15.6" x14ac:dyDescent="0.3">
      <c r="A27" s="25" t="s">
        <v>217</v>
      </c>
      <c r="B27" s="25">
        <v>71367</v>
      </c>
      <c r="C27" s="25"/>
      <c r="D27" s="25"/>
      <c r="E27" s="25"/>
      <c r="F27" s="25"/>
      <c r="G27" s="25"/>
      <c r="H27" s="25"/>
      <c r="I27" s="25"/>
      <c r="J27" s="25">
        <v>2</v>
      </c>
      <c r="K27" s="26" t="s">
        <v>338</v>
      </c>
      <c r="L27" s="26" t="s">
        <v>339</v>
      </c>
      <c r="M27" s="26" t="s">
        <v>340</v>
      </c>
      <c r="N27" s="26" t="s">
        <v>251</v>
      </c>
      <c r="O27" s="27">
        <v>0.71111111111111114</v>
      </c>
      <c r="P27" s="28">
        <v>46160</v>
      </c>
      <c r="Q27" s="29">
        <f t="shared" si="19"/>
        <v>0</v>
      </c>
      <c r="R27" s="29">
        <f t="shared" si="19"/>
        <v>0</v>
      </c>
      <c r="S27" s="29">
        <v>0</v>
      </c>
      <c r="T27" s="29">
        <v>0</v>
      </c>
      <c r="U27" s="29">
        <v>0</v>
      </c>
      <c r="V27" s="29">
        <v>0</v>
      </c>
      <c r="W27" s="29">
        <v>0</v>
      </c>
      <c r="X27" s="29">
        <v>0</v>
      </c>
      <c r="Y27" s="29">
        <v>0</v>
      </c>
      <c r="Z27" s="29">
        <v>0</v>
      </c>
      <c r="AA27" s="29">
        <v>0</v>
      </c>
      <c r="AB27" s="29">
        <v>0</v>
      </c>
      <c r="AC27" s="29">
        <v>0</v>
      </c>
      <c r="AD27" s="29">
        <v>0</v>
      </c>
      <c r="AF27" s="29">
        <v>0</v>
      </c>
      <c r="AH27" s="29">
        <v>0</v>
      </c>
      <c r="AI27" s="29">
        <v>0</v>
      </c>
      <c r="AJ27" s="29">
        <v>0</v>
      </c>
      <c r="AK27" s="29">
        <v>0</v>
      </c>
      <c r="AL27" s="29">
        <v>0</v>
      </c>
      <c r="AM27" s="29">
        <v>0</v>
      </c>
      <c r="AN27" s="29">
        <f t="shared" si="20"/>
        <v>0</v>
      </c>
      <c r="AO27" s="29">
        <f t="shared" si="20"/>
        <v>0</v>
      </c>
      <c r="AP27" s="29">
        <v>0</v>
      </c>
      <c r="AR27" s="29">
        <v>0</v>
      </c>
      <c r="AS27" s="29">
        <v>0</v>
      </c>
      <c r="AT27" s="29">
        <v>0</v>
      </c>
      <c r="AU27" s="29">
        <v>0</v>
      </c>
      <c r="AV27" s="29">
        <v>0</v>
      </c>
      <c r="AW27" s="29">
        <v>0</v>
      </c>
      <c r="AX27" s="29">
        <f t="shared" si="21"/>
        <v>0</v>
      </c>
      <c r="AY27" s="29">
        <f t="shared" si="21"/>
        <v>0</v>
      </c>
      <c r="AZ27" s="29">
        <v>0</v>
      </c>
      <c r="BD27" s="29">
        <v>0</v>
      </c>
      <c r="BE27" s="29">
        <v>0</v>
      </c>
      <c r="BF27" s="29">
        <v>0</v>
      </c>
      <c r="BG27" s="29">
        <v>0</v>
      </c>
      <c r="BH27" s="29">
        <f t="shared" si="22"/>
        <v>0</v>
      </c>
      <c r="BI27" s="29">
        <f t="shared" si="22"/>
        <v>0</v>
      </c>
      <c r="BJ27" s="29">
        <v>0</v>
      </c>
      <c r="BN27" s="29">
        <v>0</v>
      </c>
      <c r="BQ27" s="29">
        <v>0</v>
      </c>
      <c r="BT27" s="29">
        <v>0</v>
      </c>
      <c r="BW27" s="29">
        <v>0</v>
      </c>
      <c r="BZ27" s="29">
        <v>0</v>
      </c>
      <c r="CC27" s="29">
        <v>0</v>
      </c>
      <c r="CF27" s="29">
        <v>0</v>
      </c>
      <c r="CL27" s="29">
        <v>0</v>
      </c>
      <c r="CM27" s="29">
        <v>0</v>
      </c>
      <c r="CN27" s="29">
        <v>0</v>
      </c>
      <c r="CO27" s="29">
        <v>0</v>
      </c>
      <c r="CP27" s="29">
        <f t="shared" si="23"/>
        <v>0</v>
      </c>
      <c r="CQ27" s="29">
        <f t="shared" si="23"/>
        <v>0</v>
      </c>
      <c r="CR27" s="29">
        <v>0</v>
      </c>
      <c r="CV27" s="29">
        <v>0</v>
      </c>
      <c r="CW27" s="29">
        <v>0</v>
      </c>
      <c r="CX27" s="29">
        <v>0</v>
      </c>
      <c r="CY27" s="29">
        <v>0</v>
      </c>
      <c r="CZ27" s="29">
        <f t="shared" si="24"/>
        <v>0</v>
      </c>
      <c r="DA27" s="29">
        <f t="shared" si="24"/>
        <v>0</v>
      </c>
      <c r="DB27" s="29">
        <v>0</v>
      </c>
      <c r="DC27" s="29">
        <v>0</v>
      </c>
      <c r="DF27" s="29">
        <v>0</v>
      </c>
      <c r="DG27" s="29">
        <v>0</v>
      </c>
      <c r="DH27" s="29">
        <v>0</v>
      </c>
      <c r="DK27" s="29">
        <v>0</v>
      </c>
      <c r="DL27" s="29">
        <v>0</v>
      </c>
      <c r="DM27" s="29">
        <v>0</v>
      </c>
      <c r="DN27" s="29">
        <v>0</v>
      </c>
      <c r="DO27" s="29">
        <f t="shared" si="25"/>
        <v>0</v>
      </c>
      <c r="DP27" s="29">
        <f t="shared" si="25"/>
        <v>0</v>
      </c>
      <c r="DQ27" s="29">
        <v>0</v>
      </c>
      <c r="DR27" s="29">
        <v>0</v>
      </c>
      <c r="DU27" s="29">
        <v>0</v>
      </c>
      <c r="DV27" s="29">
        <v>0</v>
      </c>
      <c r="DW27" s="29">
        <v>0</v>
      </c>
      <c r="DX27" s="29">
        <v>0</v>
      </c>
      <c r="DY27" s="29">
        <f t="shared" si="26"/>
        <v>0</v>
      </c>
      <c r="DZ27" s="29">
        <f t="shared" si="26"/>
        <v>0</v>
      </c>
      <c r="EA27" s="29">
        <v>0</v>
      </c>
      <c r="EC27" s="29">
        <v>0</v>
      </c>
      <c r="EE27" s="29">
        <v>0</v>
      </c>
      <c r="EF27" s="29">
        <v>0</v>
      </c>
      <c r="EH27" s="29">
        <v>0</v>
      </c>
      <c r="EI27" s="29">
        <f t="shared" si="27"/>
        <v>0</v>
      </c>
      <c r="EJ27" s="29">
        <f t="shared" si="27"/>
        <v>0</v>
      </c>
      <c r="EK27" s="29">
        <v>0</v>
      </c>
      <c r="EL27" s="29">
        <v>0</v>
      </c>
      <c r="EM27" s="29">
        <v>0</v>
      </c>
      <c r="EN27" s="29">
        <v>0</v>
      </c>
      <c r="EO27" s="29">
        <v>0</v>
      </c>
      <c r="EP27" s="29">
        <v>0</v>
      </c>
      <c r="EQ27" s="29">
        <v>0</v>
      </c>
      <c r="ES27" s="29">
        <v>0</v>
      </c>
      <c r="ET27" s="29">
        <v>0</v>
      </c>
      <c r="EU27" s="29">
        <v>0</v>
      </c>
      <c r="EV27" s="29">
        <v>0</v>
      </c>
      <c r="EW27" s="29">
        <v>0</v>
      </c>
      <c r="EX27" s="29">
        <v>0</v>
      </c>
      <c r="EY27" s="29">
        <v>0</v>
      </c>
      <c r="EZ27" s="29">
        <v>0</v>
      </c>
      <c r="FA27" s="29">
        <v>0</v>
      </c>
      <c r="FB27" s="29">
        <f t="shared" si="28"/>
        <v>0</v>
      </c>
      <c r="FC27" s="29">
        <v>0</v>
      </c>
      <c r="FD27" s="29">
        <v>0</v>
      </c>
      <c r="FE27" s="29">
        <v>0</v>
      </c>
      <c r="FF27" s="29">
        <v>0</v>
      </c>
      <c r="FG27" s="29">
        <v>0</v>
      </c>
      <c r="FH27" s="29">
        <v>0</v>
      </c>
      <c r="FK27" s="29">
        <v>0</v>
      </c>
      <c r="FN27" s="29">
        <v>0</v>
      </c>
      <c r="FO27" s="29">
        <v>0</v>
      </c>
      <c r="FQ27" s="29">
        <v>0</v>
      </c>
      <c r="FT27" s="29">
        <v>0</v>
      </c>
      <c r="FU27" s="29">
        <v>0</v>
      </c>
      <c r="FV27" s="29">
        <v>0</v>
      </c>
      <c r="FW27" s="29">
        <v>0</v>
      </c>
      <c r="FX27" s="29">
        <v>0</v>
      </c>
      <c r="FY27" s="29">
        <v>0</v>
      </c>
      <c r="FZ27" s="29">
        <v>0</v>
      </c>
      <c r="GA27" s="26"/>
      <c r="GB27" s="26"/>
      <c r="GC27" s="25" t="s">
        <v>260</v>
      </c>
      <c r="GD27" s="56" t="s">
        <v>341</v>
      </c>
      <c r="GE27" s="56"/>
      <c r="GF27" s="32"/>
      <c r="GG27" s="32"/>
    </row>
    <row r="28" spans="1:189" ht="15.6" x14ac:dyDescent="0.3">
      <c r="A28" s="25" t="s">
        <v>305</v>
      </c>
      <c r="B28" s="25">
        <v>73276</v>
      </c>
      <c r="C28" s="25"/>
      <c r="D28" s="25"/>
      <c r="E28" s="25"/>
      <c r="F28" s="25"/>
      <c r="G28" s="25"/>
      <c r="H28" s="25"/>
      <c r="I28" s="25"/>
      <c r="J28" s="25">
        <v>2</v>
      </c>
      <c r="K28" s="26" t="s">
        <v>342</v>
      </c>
      <c r="L28" s="26" t="s">
        <v>343</v>
      </c>
      <c r="M28" s="26" t="s">
        <v>344</v>
      </c>
      <c r="N28" s="26" t="s">
        <v>345</v>
      </c>
      <c r="O28" s="27">
        <v>6.1111111111111116E-2</v>
      </c>
      <c r="P28" s="28">
        <v>46159</v>
      </c>
      <c r="Q28" s="29">
        <f t="shared" si="19"/>
        <v>0</v>
      </c>
      <c r="R28" s="29">
        <f t="shared" si="19"/>
        <v>0</v>
      </c>
      <c r="S28" s="29">
        <v>0</v>
      </c>
      <c r="T28" s="29">
        <v>0</v>
      </c>
      <c r="U28" s="29">
        <v>0</v>
      </c>
      <c r="V28" s="29">
        <v>0</v>
      </c>
      <c r="W28" s="29">
        <v>0</v>
      </c>
      <c r="X28" s="29">
        <v>0</v>
      </c>
      <c r="Y28" s="29">
        <v>0</v>
      </c>
      <c r="Z28" s="29">
        <v>0</v>
      </c>
      <c r="AA28" s="29">
        <v>0</v>
      </c>
      <c r="AB28" s="29">
        <v>0</v>
      </c>
      <c r="AC28" s="29">
        <v>0</v>
      </c>
      <c r="AD28" s="29">
        <v>0</v>
      </c>
      <c r="AF28" s="29">
        <v>0</v>
      </c>
      <c r="AH28" s="29">
        <v>0</v>
      </c>
      <c r="AI28" s="29">
        <v>0</v>
      </c>
      <c r="AJ28" s="29">
        <v>0</v>
      </c>
      <c r="AK28" s="29">
        <v>0</v>
      </c>
      <c r="AL28" s="29">
        <v>0</v>
      </c>
      <c r="AM28" s="29">
        <v>0</v>
      </c>
      <c r="AN28" s="29">
        <f t="shared" si="20"/>
        <v>0</v>
      </c>
      <c r="AO28" s="29">
        <f t="shared" si="20"/>
        <v>0</v>
      </c>
      <c r="AP28" s="29">
        <v>0</v>
      </c>
      <c r="AR28" s="29">
        <v>0</v>
      </c>
      <c r="AS28" s="29">
        <v>0</v>
      </c>
      <c r="AT28" s="29">
        <v>0</v>
      </c>
      <c r="AU28" s="29">
        <v>0</v>
      </c>
      <c r="AV28" s="29">
        <v>0</v>
      </c>
      <c r="AW28" s="29">
        <v>0</v>
      </c>
      <c r="AX28" s="29">
        <f t="shared" si="21"/>
        <v>0</v>
      </c>
      <c r="AY28" s="29">
        <f t="shared" si="21"/>
        <v>0</v>
      </c>
      <c r="AZ28" s="29">
        <v>0</v>
      </c>
      <c r="BD28" s="29">
        <v>0</v>
      </c>
      <c r="BE28" s="29">
        <v>0</v>
      </c>
      <c r="BF28" s="29">
        <v>0</v>
      </c>
      <c r="BG28" s="29">
        <v>0</v>
      </c>
      <c r="BH28" s="29">
        <f t="shared" si="22"/>
        <v>0</v>
      </c>
      <c r="BI28" s="29">
        <f t="shared" si="22"/>
        <v>0</v>
      </c>
      <c r="BJ28" s="29">
        <v>0</v>
      </c>
      <c r="BN28" s="29">
        <v>0</v>
      </c>
      <c r="BQ28" s="29">
        <v>0</v>
      </c>
      <c r="BT28" s="29">
        <v>0</v>
      </c>
      <c r="BW28" s="29">
        <v>0</v>
      </c>
      <c r="BZ28" s="29">
        <v>0</v>
      </c>
      <c r="CC28" s="29">
        <v>0</v>
      </c>
      <c r="CF28" s="29">
        <v>0</v>
      </c>
      <c r="CL28" s="29">
        <v>0</v>
      </c>
      <c r="CM28" s="29">
        <v>0</v>
      </c>
      <c r="CN28" s="29">
        <v>0</v>
      </c>
      <c r="CO28" s="29">
        <v>0</v>
      </c>
      <c r="CP28" s="29">
        <f t="shared" si="23"/>
        <v>0</v>
      </c>
      <c r="CQ28" s="29">
        <f t="shared" si="23"/>
        <v>0</v>
      </c>
      <c r="CR28" s="29">
        <v>0</v>
      </c>
      <c r="CV28" s="29">
        <v>0</v>
      </c>
      <c r="CW28" s="29">
        <v>0</v>
      </c>
      <c r="CX28" s="29">
        <v>0</v>
      </c>
      <c r="CY28" s="29">
        <v>0</v>
      </c>
      <c r="CZ28" s="29">
        <f t="shared" si="24"/>
        <v>0</v>
      </c>
      <c r="DA28" s="29">
        <f t="shared" si="24"/>
        <v>0</v>
      </c>
      <c r="DB28" s="29">
        <v>0</v>
      </c>
      <c r="DC28" s="29">
        <v>0</v>
      </c>
      <c r="DF28" s="29">
        <v>0</v>
      </c>
      <c r="DG28" s="29">
        <v>0</v>
      </c>
      <c r="DH28" s="29">
        <v>0</v>
      </c>
      <c r="DK28" s="29">
        <v>0</v>
      </c>
      <c r="DL28" s="29">
        <v>0</v>
      </c>
      <c r="DM28" s="29">
        <v>0</v>
      </c>
      <c r="DN28" s="29">
        <v>0</v>
      </c>
      <c r="DO28" s="29">
        <f t="shared" si="25"/>
        <v>0</v>
      </c>
      <c r="DP28" s="29">
        <f t="shared" si="25"/>
        <v>0</v>
      </c>
      <c r="DQ28" s="29">
        <v>0</v>
      </c>
      <c r="DR28" s="29">
        <v>0</v>
      </c>
      <c r="DU28" s="29">
        <v>0</v>
      </c>
      <c r="DV28" s="29">
        <v>0</v>
      </c>
      <c r="DW28" s="29">
        <v>0</v>
      </c>
      <c r="DX28" s="29">
        <v>0</v>
      </c>
      <c r="DY28" s="29">
        <f t="shared" si="26"/>
        <v>0</v>
      </c>
      <c r="DZ28" s="29">
        <f t="shared" si="26"/>
        <v>0</v>
      </c>
      <c r="EA28" s="29">
        <v>0</v>
      </c>
      <c r="EC28" s="29">
        <v>0</v>
      </c>
      <c r="EE28" s="29">
        <v>0</v>
      </c>
      <c r="EF28" s="29">
        <v>0</v>
      </c>
      <c r="EH28" s="29">
        <v>0</v>
      </c>
      <c r="EI28" s="29">
        <f t="shared" si="27"/>
        <v>0</v>
      </c>
      <c r="EJ28" s="29">
        <f t="shared" si="27"/>
        <v>0</v>
      </c>
      <c r="EK28" s="29">
        <v>0</v>
      </c>
      <c r="EL28" s="29">
        <v>0</v>
      </c>
      <c r="EM28" s="29">
        <v>0</v>
      </c>
      <c r="EN28" s="29">
        <v>0</v>
      </c>
      <c r="EO28" s="29">
        <v>0</v>
      </c>
      <c r="EP28" s="29">
        <v>0</v>
      </c>
      <c r="EQ28" s="29">
        <v>0</v>
      </c>
      <c r="ES28" s="29">
        <v>0</v>
      </c>
      <c r="ET28" s="29">
        <v>0</v>
      </c>
      <c r="EU28" s="29">
        <v>0</v>
      </c>
      <c r="EV28" s="29">
        <v>0</v>
      </c>
      <c r="EW28" s="29">
        <v>0</v>
      </c>
      <c r="EX28" s="29">
        <v>0</v>
      </c>
      <c r="EY28" s="29">
        <v>0</v>
      </c>
      <c r="EZ28" s="29">
        <v>0</v>
      </c>
      <c r="FA28" s="29">
        <v>0</v>
      </c>
      <c r="FB28" s="29">
        <f t="shared" si="28"/>
        <v>0</v>
      </c>
      <c r="FC28" s="29">
        <v>0</v>
      </c>
      <c r="FD28" s="29">
        <v>0</v>
      </c>
      <c r="FE28" s="29">
        <v>0</v>
      </c>
      <c r="FF28" s="29">
        <v>0</v>
      </c>
      <c r="FG28" s="29">
        <v>0</v>
      </c>
      <c r="FH28" s="29">
        <v>0</v>
      </c>
      <c r="FK28" s="29">
        <v>0</v>
      </c>
      <c r="FN28" s="29">
        <v>0</v>
      </c>
      <c r="FO28" s="29">
        <v>0</v>
      </c>
      <c r="FQ28" s="29">
        <v>0</v>
      </c>
      <c r="FT28" s="29">
        <v>0</v>
      </c>
      <c r="FU28" s="29">
        <v>0</v>
      </c>
      <c r="FV28" s="29">
        <v>0</v>
      </c>
      <c r="FW28" s="29">
        <v>0</v>
      </c>
      <c r="FX28" s="29">
        <v>0</v>
      </c>
      <c r="FY28" s="29">
        <v>0</v>
      </c>
      <c r="FZ28" s="29">
        <v>0</v>
      </c>
      <c r="GA28" s="50"/>
      <c r="GB28" s="50"/>
      <c r="GC28" s="25" t="s">
        <v>210</v>
      </c>
      <c r="GD28" s="57" t="s">
        <v>346</v>
      </c>
      <c r="GE28" s="57"/>
      <c r="GF28" s="32"/>
      <c r="GG28" s="32"/>
    </row>
    <row r="29" spans="1:189" ht="15.6" x14ac:dyDescent="0.3">
      <c r="A29" s="25" t="s">
        <v>347</v>
      </c>
      <c r="B29" s="25">
        <v>71111</v>
      </c>
      <c r="C29" s="25"/>
      <c r="D29" s="25"/>
      <c r="E29" s="25"/>
      <c r="F29" s="25"/>
      <c r="G29" s="25"/>
      <c r="H29" s="25"/>
      <c r="I29" s="25"/>
      <c r="J29" s="25">
        <v>4</v>
      </c>
      <c r="K29" s="25" t="s">
        <v>348</v>
      </c>
      <c r="L29" s="25" t="s">
        <v>349</v>
      </c>
      <c r="M29" s="25" t="s">
        <v>350</v>
      </c>
      <c r="N29" s="25" t="s">
        <v>251</v>
      </c>
      <c r="O29" s="36">
        <v>0.50208333333333333</v>
      </c>
      <c r="P29" s="37">
        <v>46210</v>
      </c>
      <c r="Q29" s="29">
        <f t="shared" si="19"/>
        <v>0</v>
      </c>
      <c r="R29" s="29">
        <f t="shared" si="19"/>
        <v>0</v>
      </c>
      <c r="S29" s="29">
        <v>0</v>
      </c>
      <c r="T29" s="29">
        <v>0</v>
      </c>
      <c r="U29" s="29">
        <v>0</v>
      </c>
      <c r="V29" s="29">
        <v>0</v>
      </c>
      <c r="W29" s="29">
        <v>0</v>
      </c>
      <c r="X29" s="29">
        <v>0</v>
      </c>
      <c r="Y29" s="29">
        <v>0</v>
      </c>
      <c r="Z29" s="29">
        <v>0</v>
      </c>
      <c r="AA29" s="29">
        <v>0</v>
      </c>
      <c r="AB29" s="29">
        <v>0</v>
      </c>
      <c r="AC29" s="29">
        <v>0</v>
      </c>
      <c r="AD29" s="29">
        <v>0</v>
      </c>
      <c r="AF29" s="29">
        <v>0</v>
      </c>
      <c r="AH29" s="29">
        <v>0</v>
      </c>
      <c r="AI29" s="29">
        <v>0</v>
      </c>
      <c r="AJ29" s="29">
        <v>0</v>
      </c>
      <c r="AK29" s="29">
        <v>0</v>
      </c>
      <c r="AL29" s="29">
        <v>0</v>
      </c>
      <c r="AM29" s="29">
        <v>0</v>
      </c>
      <c r="AN29" s="29">
        <f t="shared" si="20"/>
        <v>0</v>
      </c>
      <c r="AO29" s="29">
        <f t="shared" si="20"/>
        <v>0</v>
      </c>
      <c r="AP29" s="29">
        <v>0</v>
      </c>
      <c r="AR29" s="29">
        <v>0</v>
      </c>
      <c r="AS29" s="29">
        <v>0</v>
      </c>
      <c r="AT29" s="29">
        <v>0</v>
      </c>
      <c r="AU29" s="29">
        <v>0</v>
      </c>
      <c r="AV29" s="29">
        <v>0</v>
      </c>
      <c r="AW29" s="29">
        <v>0</v>
      </c>
      <c r="AX29" s="29">
        <f t="shared" si="21"/>
        <v>0</v>
      </c>
      <c r="AY29" s="29">
        <f t="shared" si="21"/>
        <v>0</v>
      </c>
      <c r="AZ29" s="29">
        <v>0</v>
      </c>
      <c r="BD29" s="29">
        <v>0</v>
      </c>
      <c r="BE29" s="29">
        <v>0</v>
      </c>
      <c r="BF29" s="29">
        <v>0</v>
      </c>
      <c r="BG29" s="29">
        <v>0</v>
      </c>
      <c r="BH29" s="29">
        <f t="shared" si="22"/>
        <v>0</v>
      </c>
      <c r="BI29" s="29">
        <f t="shared" si="22"/>
        <v>0</v>
      </c>
      <c r="BJ29" s="29">
        <v>0</v>
      </c>
      <c r="BN29" s="29">
        <v>0</v>
      </c>
      <c r="BQ29" s="29">
        <v>0</v>
      </c>
      <c r="BT29" s="29">
        <v>0</v>
      </c>
      <c r="BW29" s="29">
        <v>0</v>
      </c>
      <c r="BZ29" s="29">
        <v>0</v>
      </c>
      <c r="CC29" s="29">
        <v>0</v>
      </c>
      <c r="CF29" s="29">
        <v>0</v>
      </c>
      <c r="CL29" s="29">
        <v>0</v>
      </c>
      <c r="CM29" s="29">
        <v>0</v>
      </c>
      <c r="CN29" s="29">
        <v>0</v>
      </c>
      <c r="CO29" s="29">
        <v>0</v>
      </c>
      <c r="CP29" s="29">
        <f t="shared" si="23"/>
        <v>0</v>
      </c>
      <c r="CQ29" s="29">
        <f t="shared" si="23"/>
        <v>0</v>
      </c>
      <c r="CR29" s="29">
        <v>0</v>
      </c>
      <c r="CV29" s="29">
        <v>0</v>
      </c>
      <c r="CW29" s="29">
        <v>0</v>
      </c>
      <c r="CX29" s="29">
        <v>0</v>
      </c>
      <c r="CY29" s="29">
        <v>0</v>
      </c>
      <c r="CZ29" s="29">
        <f t="shared" si="24"/>
        <v>0</v>
      </c>
      <c r="DA29" s="29">
        <f t="shared" si="24"/>
        <v>0</v>
      </c>
      <c r="DB29" s="29">
        <v>0</v>
      </c>
      <c r="DC29" s="29">
        <v>0</v>
      </c>
      <c r="DF29" s="29">
        <v>0</v>
      </c>
      <c r="DG29" s="29">
        <v>0</v>
      </c>
      <c r="DH29" s="29">
        <v>0</v>
      </c>
      <c r="DK29" s="29">
        <v>0</v>
      </c>
      <c r="DL29" s="29">
        <v>0</v>
      </c>
      <c r="DM29" s="29">
        <v>0</v>
      </c>
      <c r="DN29" s="29">
        <v>0</v>
      </c>
      <c r="DO29" s="29">
        <f t="shared" si="25"/>
        <v>0</v>
      </c>
      <c r="DP29" s="29">
        <f t="shared" si="25"/>
        <v>0</v>
      </c>
      <c r="DQ29" s="29">
        <v>0</v>
      </c>
      <c r="DR29" s="29">
        <v>0</v>
      </c>
      <c r="DU29" s="29">
        <v>0</v>
      </c>
      <c r="DV29" s="29">
        <v>0</v>
      </c>
      <c r="DW29" s="29">
        <v>0</v>
      </c>
      <c r="DX29" s="29">
        <v>0</v>
      </c>
      <c r="DY29" s="29">
        <f t="shared" si="26"/>
        <v>0</v>
      </c>
      <c r="DZ29" s="29">
        <f t="shared" si="26"/>
        <v>0</v>
      </c>
      <c r="EA29" s="29">
        <v>0</v>
      </c>
      <c r="EC29" s="29">
        <v>0</v>
      </c>
      <c r="EE29" s="29">
        <v>0</v>
      </c>
      <c r="EF29" s="29">
        <v>0</v>
      </c>
      <c r="EH29" s="29">
        <v>0</v>
      </c>
      <c r="EI29" s="29">
        <f t="shared" si="27"/>
        <v>0</v>
      </c>
      <c r="EJ29" s="29">
        <f t="shared" si="27"/>
        <v>0</v>
      </c>
      <c r="EK29" s="29">
        <v>0</v>
      </c>
      <c r="EL29" s="29">
        <v>0</v>
      </c>
      <c r="EM29" s="29">
        <v>0</v>
      </c>
      <c r="EN29" s="29">
        <v>0</v>
      </c>
      <c r="EO29" s="29">
        <v>0</v>
      </c>
      <c r="EP29" s="29">
        <v>0</v>
      </c>
      <c r="EQ29" s="29">
        <v>0</v>
      </c>
      <c r="ES29" s="29">
        <v>0</v>
      </c>
      <c r="ET29" s="29">
        <v>0</v>
      </c>
      <c r="EU29" s="29">
        <v>0</v>
      </c>
      <c r="EV29" s="29">
        <v>0</v>
      </c>
      <c r="EW29" s="29">
        <v>0</v>
      </c>
      <c r="EX29" s="29">
        <v>0</v>
      </c>
      <c r="EY29" s="29">
        <v>0</v>
      </c>
      <c r="EZ29" s="29">
        <v>0</v>
      </c>
      <c r="FA29" s="29">
        <v>0</v>
      </c>
      <c r="FB29" s="29">
        <f t="shared" si="28"/>
        <v>0</v>
      </c>
      <c r="FC29" s="29">
        <v>0</v>
      </c>
      <c r="FD29" s="29">
        <v>0</v>
      </c>
      <c r="FE29" s="29">
        <v>0</v>
      </c>
      <c r="FF29" s="29">
        <v>0</v>
      </c>
      <c r="FG29" s="29">
        <v>0</v>
      </c>
      <c r="FH29" s="29">
        <v>0</v>
      </c>
      <c r="FK29" s="29">
        <v>0</v>
      </c>
      <c r="FN29" s="29">
        <v>0</v>
      </c>
      <c r="FO29" s="29">
        <v>0</v>
      </c>
      <c r="FQ29" s="29">
        <v>0</v>
      </c>
      <c r="FT29" s="29">
        <v>0</v>
      </c>
      <c r="FU29" s="29">
        <v>0</v>
      </c>
      <c r="FV29" s="29">
        <v>0</v>
      </c>
      <c r="FW29" s="29">
        <v>0</v>
      </c>
      <c r="FX29" s="29">
        <v>0</v>
      </c>
      <c r="FY29" s="29">
        <v>0</v>
      </c>
      <c r="FZ29" s="29">
        <v>0</v>
      </c>
      <c r="GA29" s="25"/>
      <c r="GB29" s="25"/>
      <c r="GC29" s="25" t="s">
        <v>196</v>
      </c>
      <c r="GD29" s="38" t="s">
        <v>351</v>
      </c>
      <c r="GE29" s="38"/>
      <c r="GF29" s="38"/>
      <c r="GG29" s="38"/>
    </row>
    <row r="30" spans="1:189" ht="15.6" x14ac:dyDescent="0.3">
      <c r="A30" s="25" t="s">
        <v>352</v>
      </c>
      <c r="B30" s="25">
        <v>61453</v>
      </c>
      <c r="C30" s="25"/>
      <c r="D30" s="25"/>
      <c r="E30" s="25"/>
      <c r="F30" s="25"/>
      <c r="G30" s="25"/>
      <c r="H30" s="25"/>
      <c r="I30" s="25"/>
      <c r="J30" s="25">
        <v>2</v>
      </c>
      <c r="K30" s="26" t="s">
        <v>353</v>
      </c>
      <c r="L30" s="26" t="s">
        <v>354</v>
      </c>
      <c r="M30" s="26" t="s">
        <v>355</v>
      </c>
      <c r="N30" s="26" t="s">
        <v>203</v>
      </c>
      <c r="O30" s="27">
        <v>0.64861111111111114</v>
      </c>
      <c r="P30" s="28">
        <v>46159</v>
      </c>
      <c r="Q30" s="29">
        <f t="shared" si="19"/>
        <v>0</v>
      </c>
      <c r="R30" s="29">
        <f t="shared" si="19"/>
        <v>0</v>
      </c>
      <c r="S30" s="29">
        <v>0</v>
      </c>
      <c r="T30" s="29">
        <v>0</v>
      </c>
      <c r="U30" s="29">
        <v>0</v>
      </c>
      <c r="V30" s="29">
        <v>0</v>
      </c>
      <c r="W30" s="29">
        <v>0</v>
      </c>
      <c r="X30" s="29">
        <v>0</v>
      </c>
      <c r="Y30" s="29">
        <v>0</v>
      </c>
      <c r="Z30" s="29">
        <v>0</v>
      </c>
      <c r="AA30" s="29">
        <v>0</v>
      </c>
      <c r="AB30" s="29">
        <v>0</v>
      </c>
      <c r="AC30" s="29">
        <v>0</v>
      </c>
      <c r="AD30" s="29">
        <v>0</v>
      </c>
      <c r="AF30" s="29">
        <v>0</v>
      </c>
      <c r="AH30" s="29">
        <v>0</v>
      </c>
      <c r="AI30" s="29">
        <v>0</v>
      </c>
      <c r="AJ30" s="29">
        <v>0</v>
      </c>
      <c r="AK30" s="29">
        <v>0</v>
      </c>
      <c r="AL30" s="29">
        <v>0</v>
      </c>
      <c r="AM30" s="29">
        <v>0</v>
      </c>
      <c r="AN30" s="29">
        <f t="shared" si="20"/>
        <v>0</v>
      </c>
      <c r="AO30" s="29">
        <f t="shared" si="20"/>
        <v>0</v>
      </c>
      <c r="AP30" s="29">
        <v>0</v>
      </c>
      <c r="AR30" s="29">
        <v>0</v>
      </c>
      <c r="AS30" s="29">
        <v>0</v>
      </c>
      <c r="AT30" s="29">
        <v>0</v>
      </c>
      <c r="AU30" s="29">
        <v>0</v>
      </c>
      <c r="AV30" s="29">
        <v>0</v>
      </c>
      <c r="AW30" s="29">
        <v>0</v>
      </c>
      <c r="AX30" s="29">
        <f t="shared" si="21"/>
        <v>0</v>
      </c>
      <c r="AY30" s="29">
        <f t="shared" si="21"/>
        <v>0</v>
      </c>
      <c r="AZ30" s="29">
        <v>0</v>
      </c>
      <c r="BD30" s="29">
        <v>0</v>
      </c>
      <c r="BE30" s="29">
        <v>0</v>
      </c>
      <c r="BF30" s="29">
        <v>0</v>
      </c>
      <c r="BG30" s="29">
        <v>0</v>
      </c>
      <c r="BH30" s="29">
        <f t="shared" si="22"/>
        <v>0</v>
      </c>
      <c r="BI30" s="29">
        <f t="shared" si="22"/>
        <v>0</v>
      </c>
      <c r="BJ30" s="29">
        <v>0</v>
      </c>
      <c r="BN30" s="29">
        <v>0</v>
      </c>
      <c r="BQ30" s="29">
        <v>0</v>
      </c>
      <c r="BT30" s="29">
        <v>0</v>
      </c>
      <c r="BW30" s="29">
        <v>0</v>
      </c>
      <c r="BZ30" s="29">
        <v>0</v>
      </c>
      <c r="CC30" s="29">
        <v>0</v>
      </c>
      <c r="CF30" s="29">
        <v>0</v>
      </c>
      <c r="CL30" s="29">
        <v>0</v>
      </c>
      <c r="CM30" s="29">
        <v>0</v>
      </c>
      <c r="CN30" s="29">
        <v>0</v>
      </c>
      <c r="CO30" s="29">
        <v>0</v>
      </c>
      <c r="CP30" s="29">
        <f t="shared" si="23"/>
        <v>0</v>
      </c>
      <c r="CQ30" s="29">
        <f t="shared" si="23"/>
        <v>0</v>
      </c>
      <c r="CR30" s="29">
        <v>0</v>
      </c>
      <c r="CV30" s="29">
        <v>0</v>
      </c>
      <c r="CW30" s="29">
        <v>0</v>
      </c>
      <c r="CX30" s="29">
        <v>0</v>
      </c>
      <c r="CY30" s="29">
        <v>0</v>
      </c>
      <c r="CZ30" s="29">
        <f t="shared" si="24"/>
        <v>0</v>
      </c>
      <c r="DA30" s="29">
        <f t="shared" si="24"/>
        <v>0</v>
      </c>
      <c r="DB30" s="29">
        <v>0</v>
      </c>
      <c r="DC30" s="29">
        <v>0</v>
      </c>
      <c r="DF30" s="29">
        <v>0</v>
      </c>
      <c r="DG30" s="29">
        <v>0</v>
      </c>
      <c r="DH30" s="29">
        <v>0</v>
      </c>
      <c r="DK30" s="29">
        <v>0</v>
      </c>
      <c r="DL30" s="29">
        <v>0</v>
      </c>
      <c r="DM30" s="29">
        <v>0</v>
      </c>
      <c r="DN30" s="29">
        <v>0</v>
      </c>
      <c r="DO30" s="29">
        <f t="shared" si="25"/>
        <v>0</v>
      </c>
      <c r="DP30" s="29">
        <f t="shared" si="25"/>
        <v>0</v>
      </c>
      <c r="DQ30" s="29">
        <v>0</v>
      </c>
      <c r="DR30" s="29">
        <v>0</v>
      </c>
      <c r="DU30" s="29">
        <v>0</v>
      </c>
      <c r="DV30" s="29">
        <v>0</v>
      </c>
      <c r="DW30" s="29">
        <v>0</v>
      </c>
      <c r="DX30" s="29">
        <v>0</v>
      </c>
      <c r="DY30" s="29">
        <f t="shared" si="26"/>
        <v>0</v>
      </c>
      <c r="DZ30" s="29">
        <f t="shared" si="26"/>
        <v>0</v>
      </c>
      <c r="EA30" s="29">
        <v>0</v>
      </c>
      <c r="EC30" s="29">
        <v>0</v>
      </c>
      <c r="EE30" s="29">
        <v>0</v>
      </c>
      <c r="EF30" s="29">
        <v>0</v>
      </c>
      <c r="EH30" s="29">
        <v>0</v>
      </c>
      <c r="EI30" s="29">
        <f t="shared" si="27"/>
        <v>0</v>
      </c>
      <c r="EJ30" s="29">
        <f t="shared" si="27"/>
        <v>0</v>
      </c>
      <c r="EK30" s="29">
        <v>0</v>
      </c>
      <c r="EL30" s="29">
        <v>0</v>
      </c>
      <c r="EM30" s="29">
        <v>0</v>
      </c>
      <c r="EN30" s="29">
        <v>0</v>
      </c>
      <c r="EO30" s="29">
        <v>0</v>
      </c>
      <c r="EP30" s="29">
        <v>0</v>
      </c>
      <c r="EQ30" s="29">
        <v>0</v>
      </c>
      <c r="ES30" s="29">
        <v>0</v>
      </c>
      <c r="ET30" s="29">
        <v>0</v>
      </c>
      <c r="EU30" s="29">
        <v>0</v>
      </c>
      <c r="EV30" s="29">
        <v>0</v>
      </c>
      <c r="EW30" s="29">
        <v>0</v>
      </c>
      <c r="EX30" s="29">
        <v>0</v>
      </c>
      <c r="EY30" s="29">
        <v>0</v>
      </c>
      <c r="EZ30" s="29">
        <v>0</v>
      </c>
      <c r="FA30" s="29">
        <v>0</v>
      </c>
      <c r="FB30" s="29">
        <f t="shared" si="28"/>
        <v>0</v>
      </c>
      <c r="FC30" s="29">
        <v>0</v>
      </c>
      <c r="FD30" s="29">
        <v>0</v>
      </c>
      <c r="FE30" s="29">
        <v>0</v>
      </c>
      <c r="FF30" s="29">
        <v>0</v>
      </c>
      <c r="FG30" s="29">
        <v>0</v>
      </c>
      <c r="FH30" s="29">
        <v>0</v>
      </c>
      <c r="FK30" s="29">
        <v>0</v>
      </c>
      <c r="FN30" s="29">
        <v>0</v>
      </c>
      <c r="FO30" s="29">
        <v>0</v>
      </c>
      <c r="FQ30" s="29">
        <v>0</v>
      </c>
      <c r="FT30" s="29">
        <v>0</v>
      </c>
      <c r="FU30" s="29">
        <v>0</v>
      </c>
      <c r="FV30" s="29">
        <v>0</v>
      </c>
      <c r="FW30" s="29">
        <v>0</v>
      </c>
      <c r="FX30" s="29">
        <v>0</v>
      </c>
      <c r="FY30" s="29">
        <v>0</v>
      </c>
      <c r="FZ30" s="29">
        <v>0</v>
      </c>
      <c r="GA30" s="26"/>
      <c r="GB30" s="26"/>
      <c r="GC30" s="25" t="s">
        <v>196</v>
      </c>
      <c r="GD30" s="56" t="s">
        <v>356</v>
      </c>
      <c r="GE30" s="56"/>
      <c r="GF30" s="32"/>
      <c r="GG30" s="32"/>
    </row>
    <row r="31" spans="1:189" ht="15.6" x14ac:dyDescent="0.3">
      <c r="A31" s="25" t="s">
        <v>357</v>
      </c>
      <c r="B31" s="25">
        <v>72264</v>
      </c>
      <c r="C31" s="25"/>
      <c r="D31" s="25"/>
      <c r="E31" s="25"/>
      <c r="F31" s="25"/>
      <c r="G31" s="25"/>
      <c r="H31" s="25"/>
      <c r="I31" s="25"/>
      <c r="J31" s="25">
        <v>3</v>
      </c>
      <c r="K31" s="25" t="s">
        <v>358</v>
      </c>
      <c r="L31" s="25" t="s">
        <v>359</v>
      </c>
      <c r="M31" s="25" t="s">
        <v>360</v>
      </c>
      <c r="N31" s="26" t="s">
        <v>361</v>
      </c>
      <c r="O31" s="27">
        <v>0.95624999999999993</v>
      </c>
      <c r="P31" s="28">
        <v>46182</v>
      </c>
      <c r="Q31" s="29">
        <f t="shared" si="19"/>
        <v>0</v>
      </c>
      <c r="R31" s="29">
        <f t="shared" si="19"/>
        <v>0</v>
      </c>
      <c r="S31" s="29">
        <v>0</v>
      </c>
      <c r="T31" s="29">
        <v>0</v>
      </c>
      <c r="U31" s="29">
        <v>0</v>
      </c>
      <c r="V31" s="29">
        <v>0</v>
      </c>
      <c r="W31" s="29">
        <v>0</v>
      </c>
      <c r="X31" s="29">
        <v>0</v>
      </c>
      <c r="Y31" s="29">
        <v>0</v>
      </c>
      <c r="Z31" s="29">
        <v>0</v>
      </c>
      <c r="AA31" s="29">
        <v>0</v>
      </c>
      <c r="AB31" s="29">
        <v>0</v>
      </c>
      <c r="AC31" s="29">
        <v>0</v>
      </c>
      <c r="AD31" s="29">
        <v>0</v>
      </c>
      <c r="AF31" s="29">
        <v>0</v>
      </c>
      <c r="AH31" s="29">
        <v>0</v>
      </c>
      <c r="AI31" s="29">
        <v>0</v>
      </c>
      <c r="AJ31" s="29">
        <v>0</v>
      </c>
      <c r="AK31" s="29">
        <v>0</v>
      </c>
      <c r="AL31" s="29">
        <v>0</v>
      </c>
      <c r="AM31" s="29">
        <v>0</v>
      </c>
      <c r="AN31" s="29">
        <f t="shared" si="20"/>
        <v>0</v>
      </c>
      <c r="AO31" s="29">
        <f t="shared" si="20"/>
        <v>0</v>
      </c>
      <c r="AP31" s="29">
        <v>0</v>
      </c>
      <c r="AR31" s="29">
        <v>0</v>
      </c>
      <c r="AS31" s="29">
        <v>0</v>
      </c>
      <c r="AT31" s="29">
        <v>0</v>
      </c>
      <c r="AU31" s="29">
        <v>0</v>
      </c>
      <c r="AV31" s="29">
        <v>0</v>
      </c>
      <c r="AW31" s="29">
        <v>0</v>
      </c>
      <c r="AX31" s="29">
        <f t="shared" si="21"/>
        <v>0</v>
      </c>
      <c r="AY31" s="29">
        <f t="shared" si="21"/>
        <v>0</v>
      </c>
      <c r="AZ31" s="29">
        <v>0</v>
      </c>
      <c r="BD31" s="29">
        <v>0</v>
      </c>
      <c r="BE31" s="29">
        <v>0</v>
      </c>
      <c r="BF31" s="29">
        <v>0</v>
      </c>
      <c r="BG31" s="29">
        <v>0</v>
      </c>
      <c r="BH31" s="29">
        <f t="shared" si="22"/>
        <v>0</v>
      </c>
      <c r="BI31" s="29">
        <f t="shared" si="22"/>
        <v>0</v>
      </c>
      <c r="BJ31" s="29">
        <v>0</v>
      </c>
      <c r="BN31" s="29">
        <v>0</v>
      </c>
      <c r="BQ31" s="29">
        <v>0</v>
      </c>
      <c r="BT31" s="29">
        <v>0</v>
      </c>
      <c r="BW31" s="29">
        <v>0</v>
      </c>
      <c r="BZ31" s="29">
        <v>0</v>
      </c>
      <c r="CC31" s="29">
        <v>0</v>
      </c>
      <c r="CF31" s="29">
        <v>0</v>
      </c>
      <c r="CL31" s="29">
        <v>0</v>
      </c>
      <c r="CM31" s="29">
        <v>0</v>
      </c>
      <c r="CN31" s="29">
        <v>0</v>
      </c>
      <c r="CO31" s="29">
        <v>0</v>
      </c>
      <c r="CP31" s="29">
        <f t="shared" si="23"/>
        <v>0</v>
      </c>
      <c r="CQ31" s="29">
        <f t="shared" si="23"/>
        <v>0</v>
      </c>
      <c r="CR31" s="29">
        <v>0</v>
      </c>
      <c r="CV31" s="29">
        <v>0</v>
      </c>
      <c r="CW31" s="29">
        <v>0</v>
      </c>
      <c r="CX31" s="29">
        <v>0</v>
      </c>
      <c r="CY31" s="29">
        <v>0</v>
      </c>
      <c r="CZ31" s="29">
        <f t="shared" si="24"/>
        <v>0</v>
      </c>
      <c r="DA31" s="29">
        <f t="shared" si="24"/>
        <v>0</v>
      </c>
      <c r="DB31" s="29">
        <v>0</v>
      </c>
      <c r="DC31" s="29">
        <v>0</v>
      </c>
      <c r="DF31" s="29">
        <v>0</v>
      </c>
      <c r="DG31" s="29">
        <v>0</v>
      </c>
      <c r="DH31" s="29">
        <v>0</v>
      </c>
      <c r="DK31" s="29">
        <v>0</v>
      </c>
      <c r="DL31" s="29">
        <v>0</v>
      </c>
      <c r="DM31" s="29">
        <v>0</v>
      </c>
      <c r="DN31" s="29">
        <v>0</v>
      </c>
      <c r="DO31" s="29">
        <f t="shared" si="25"/>
        <v>0</v>
      </c>
      <c r="DP31" s="29">
        <f t="shared" si="25"/>
        <v>0</v>
      </c>
      <c r="DQ31" s="29">
        <v>0</v>
      </c>
      <c r="DR31" s="29">
        <v>0</v>
      </c>
      <c r="DU31" s="29">
        <v>0</v>
      </c>
      <c r="DV31" s="29">
        <v>0</v>
      </c>
      <c r="DW31" s="29">
        <v>0</v>
      </c>
      <c r="DX31" s="29">
        <v>0</v>
      </c>
      <c r="DY31" s="29">
        <f t="shared" si="26"/>
        <v>0</v>
      </c>
      <c r="DZ31" s="29">
        <f t="shared" si="26"/>
        <v>0</v>
      </c>
      <c r="EA31" s="29">
        <v>0</v>
      </c>
      <c r="EC31" s="29">
        <v>0</v>
      </c>
      <c r="EE31" s="29">
        <v>0</v>
      </c>
      <c r="EF31" s="29">
        <v>0</v>
      </c>
      <c r="EH31" s="29">
        <v>0</v>
      </c>
      <c r="EI31" s="29">
        <f t="shared" si="27"/>
        <v>0</v>
      </c>
      <c r="EJ31" s="29">
        <f t="shared" si="27"/>
        <v>0</v>
      </c>
      <c r="EK31" s="29">
        <v>0</v>
      </c>
      <c r="EL31" s="29">
        <v>0</v>
      </c>
      <c r="EM31" s="29">
        <v>0</v>
      </c>
      <c r="EN31" s="29">
        <v>0</v>
      </c>
      <c r="EO31" s="29">
        <v>0</v>
      </c>
      <c r="EP31" s="29">
        <v>0</v>
      </c>
      <c r="EQ31" s="29">
        <v>0</v>
      </c>
      <c r="ES31" s="29">
        <v>0</v>
      </c>
      <c r="ET31" s="29">
        <v>0</v>
      </c>
      <c r="EU31" s="29">
        <v>0</v>
      </c>
      <c r="EV31" s="29">
        <v>0</v>
      </c>
      <c r="EW31" s="29">
        <v>0</v>
      </c>
      <c r="EX31" s="29">
        <v>0</v>
      </c>
      <c r="EY31" s="29">
        <v>0</v>
      </c>
      <c r="EZ31" s="29">
        <v>0</v>
      </c>
      <c r="FA31" s="29">
        <v>0</v>
      </c>
      <c r="FB31" s="29">
        <f t="shared" si="28"/>
        <v>0</v>
      </c>
      <c r="FC31" s="29">
        <v>0</v>
      </c>
      <c r="FD31" s="29">
        <v>0</v>
      </c>
      <c r="FE31" s="29">
        <v>0</v>
      </c>
      <c r="FF31" s="29">
        <v>0</v>
      </c>
      <c r="FG31" s="29">
        <v>0</v>
      </c>
      <c r="FH31" s="29">
        <v>0</v>
      </c>
      <c r="FK31" s="29">
        <v>0</v>
      </c>
      <c r="FN31" s="29">
        <v>0</v>
      </c>
      <c r="FO31" s="29">
        <v>0</v>
      </c>
      <c r="FQ31" s="29">
        <v>0</v>
      </c>
      <c r="FT31" s="29">
        <v>0</v>
      </c>
      <c r="FU31" s="29">
        <v>0</v>
      </c>
      <c r="FV31" s="29">
        <v>0</v>
      </c>
      <c r="FW31" s="29">
        <v>0</v>
      </c>
      <c r="FX31" s="29">
        <v>0</v>
      </c>
      <c r="FY31" s="29">
        <v>0</v>
      </c>
      <c r="FZ31" s="29">
        <v>0</v>
      </c>
      <c r="GA31" s="25"/>
      <c r="GB31" s="25"/>
      <c r="GC31" s="25" t="s">
        <v>260</v>
      </c>
      <c r="GD31" s="38" t="s">
        <v>362</v>
      </c>
      <c r="GE31" s="38"/>
      <c r="GF31" s="39"/>
      <c r="GG31" s="39"/>
    </row>
    <row r="32" spans="1:189" ht="15.6" x14ac:dyDescent="0.3">
      <c r="A32" s="25" t="s">
        <v>297</v>
      </c>
      <c r="B32" s="25">
        <v>71113</v>
      </c>
      <c r="C32" s="25"/>
      <c r="D32" s="25"/>
      <c r="E32" s="25"/>
      <c r="F32" s="25"/>
      <c r="G32" s="25"/>
      <c r="H32" s="25"/>
      <c r="I32" s="25"/>
      <c r="J32" s="25">
        <v>3</v>
      </c>
      <c r="K32" s="25" t="s">
        <v>363</v>
      </c>
      <c r="L32" s="25" t="s">
        <v>364</v>
      </c>
      <c r="M32" s="25" t="s">
        <v>365</v>
      </c>
      <c r="N32" s="25" t="s">
        <v>251</v>
      </c>
      <c r="O32" s="36">
        <v>0.90486111111111101</v>
      </c>
      <c r="P32" s="37">
        <v>46192</v>
      </c>
      <c r="Q32" s="29">
        <f t="shared" si="19"/>
        <v>0</v>
      </c>
      <c r="R32" s="29">
        <f t="shared" si="19"/>
        <v>0</v>
      </c>
      <c r="S32" s="29">
        <v>0</v>
      </c>
      <c r="T32" s="29">
        <v>0</v>
      </c>
      <c r="U32" s="29">
        <v>0</v>
      </c>
      <c r="V32" s="29">
        <v>0</v>
      </c>
      <c r="W32" s="29">
        <v>0</v>
      </c>
      <c r="X32" s="29">
        <v>0</v>
      </c>
      <c r="Y32" s="29">
        <v>0</v>
      </c>
      <c r="Z32" s="29">
        <v>0</v>
      </c>
      <c r="AA32" s="29">
        <v>0</v>
      </c>
      <c r="AB32" s="29">
        <v>0</v>
      </c>
      <c r="AC32" s="29">
        <v>0</v>
      </c>
      <c r="AD32" s="29">
        <v>0</v>
      </c>
      <c r="AF32" s="29">
        <v>0</v>
      </c>
      <c r="AH32" s="29">
        <v>0</v>
      </c>
      <c r="AI32" s="29">
        <v>0</v>
      </c>
      <c r="AJ32" s="29">
        <v>0</v>
      </c>
      <c r="AK32" s="29">
        <v>0</v>
      </c>
      <c r="AL32" s="29">
        <v>0</v>
      </c>
      <c r="AM32" s="29">
        <v>0</v>
      </c>
      <c r="AN32" s="29">
        <f t="shared" si="20"/>
        <v>0</v>
      </c>
      <c r="AO32" s="29">
        <f t="shared" si="20"/>
        <v>0</v>
      </c>
      <c r="AP32" s="29">
        <v>0</v>
      </c>
      <c r="AR32" s="29">
        <v>0</v>
      </c>
      <c r="AS32" s="29">
        <v>0</v>
      </c>
      <c r="AT32" s="29">
        <v>0</v>
      </c>
      <c r="AU32" s="29">
        <v>0</v>
      </c>
      <c r="AV32" s="29">
        <v>0</v>
      </c>
      <c r="AW32" s="29">
        <v>0</v>
      </c>
      <c r="AX32" s="29">
        <f t="shared" si="21"/>
        <v>0</v>
      </c>
      <c r="AY32" s="29">
        <f t="shared" si="21"/>
        <v>0</v>
      </c>
      <c r="AZ32" s="29">
        <v>0</v>
      </c>
      <c r="BD32" s="29">
        <v>0</v>
      </c>
      <c r="BE32" s="29">
        <v>0</v>
      </c>
      <c r="BF32" s="29">
        <v>0</v>
      </c>
      <c r="BG32" s="29">
        <v>0</v>
      </c>
      <c r="BH32" s="29">
        <f t="shared" si="22"/>
        <v>0</v>
      </c>
      <c r="BI32" s="29">
        <f t="shared" si="22"/>
        <v>0</v>
      </c>
      <c r="BJ32" s="29">
        <v>0</v>
      </c>
      <c r="BN32" s="29">
        <v>0</v>
      </c>
      <c r="BQ32" s="29">
        <v>0</v>
      </c>
      <c r="BT32" s="29">
        <v>0</v>
      </c>
      <c r="BW32" s="29">
        <v>0</v>
      </c>
      <c r="BZ32" s="29">
        <v>0</v>
      </c>
      <c r="CC32" s="29">
        <v>0</v>
      </c>
      <c r="CF32" s="29">
        <v>0</v>
      </c>
      <c r="CL32" s="29">
        <v>0</v>
      </c>
      <c r="CM32" s="29">
        <v>0</v>
      </c>
      <c r="CN32" s="29">
        <v>0</v>
      </c>
      <c r="CO32" s="29">
        <v>0</v>
      </c>
      <c r="CP32" s="29">
        <f t="shared" si="23"/>
        <v>0</v>
      </c>
      <c r="CQ32" s="29">
        <f t="shared" si="23"/>
        <v>0</v>
      </c>
      <c r="CR32" s="29">
        <v>0</v>
      </c>
      <c r="CV32" s="29">
        <v>0</v>
      </c>
      <c r="CW32" s="29">
        <v>0</v>
      </c>
      <c r="CX32" s="29">
        <v>0</v>
      </c>
      <c r="CY32" s="29">
        <v>0</v>
      </c>
      <c r="CZ32" s="29">
        <f t="shared" si="24"/>
        <v>0</v>
      </c>
      <c r="DA32" s="29">
        <f t="shared" si="24"/>
        <v>0</v>
      </c>
      <c r="DB32" s="29">
        <v>0</v>
      </c>
      <c r="DC32" s="29">
        <v>0</v>
      </c>
      <c r="DF32" s="29">
        <v>0</v>
      </c>
      <c r="DG32" s="29">
        <v>0</v>
      </c>
      <c r="DH32" s="29">
        <v>0</v>
      </c>
      <c r="DK32" s="29">
        <v>0</v>
      </c>
      <c r="DL32" s="29">
        <v>0</v>
      </c>
      <c r="DM32" s="29">
        <v>0</v>
      </c>
      <c r="DN32" s="29">
        <v>0</v>
      </c>
      <c r="DO32" s="29">
        <f t="shared" si="25"/>
        <v>0</v>
      </c>
      <c r="DP32" s="29">
        <f t="shared" si="25"/>
        <v>0</v>
      </c>
      <c r="DQ32" s="29">
        <v>0</v>
      </c>
      <c r="DR32" s="29">
        <v>0</v>
      </c>
      <c r="DU32" s="29">
        <v>0</v>
      </c>
      <c r="DV32" s="29">
        <v>0</v>
      </c>
      <c r="DW32" s="29">
        <v>0</v>
      </c>
      <c r="DX32" s="29">
        <v>0</v>
      </c>
      <c r="DY32" s="29">
        <f t="shared" si="26"/>
        <v>0</v>
      </c>
      <c r="DZ32" s="29">
        <f t="shared" si="26"/>
        <v>0</v>
      </c>
      <c r="EA32" s="29">
        <v>0</v>
      </c>
      <c r="EC32" s="29">
        <v>0</v>
      </c>
      <c r="EE32" s="29">
        <v>0</v>
      </c>
      <c r="EF32" s="29">
        <v>0</v>
      </c>
      <c r="EH32" s="29">
        <v>0</v>
      </c>
      <c r="EI32" s="29">
        <f t="shared" si="27"/>
        <v>0</v>
      </c>
      <c r="EJ32" s="29">
        <f t="shared" si="27"/>
        <v>0</v>
      </c>
      <c r="EK32" s="29">
        <v>0</v>
      </c>
      <c r="EL32" s="29">
        <v>0</v>
      </c>
      <c r="EM32" s="29">
        <v>0</v>
      </c>
      <c r="EN32" s="29">
        <v>0</v>
      </c>
      <c r="EO32" s="29">
        <v>0</v>
      </c>
      <c r="EP32" s="29">
        <v>0</v>
      </c>
      <c r="EQ32" s="29">
        <v>0</v>
      </c>
      <c r="ES32" s="29">
        <v>0</v>
      </c>
      <c r="ET32" s="29">
        <v>0</v>
      </c>
      <c r="EU32" s="29">
        <v>0</v>
      </c>
      <c r="EV32" s="29">
        <v>0</v>
      </c>
      <c r="EW32" s="29">
        <v>0</v>
      </c>
      <c r="EX32" s="29">
        <v>0</v>
      </c>
      <c r="EY32" s="29">
        <v>0</v>
      </c>
      <c r="EZ32" s="29">
        <v>0</v>
      </c>
      <c r="FA32" s="29">
        <v>0</v>
      </c>
      <c r="FB32" s="29">
        <f t="shared" si="28"/>
        <v>0</v>
      </c>
      <c r="FC32" s="29">
        <v>0</v>
      </c>
      <c r="FD32" s="29">
        <v>0</v>
      </c>
      <c r="FE32" s="29">
        <v>0</v>
      </c>
      <c r="FF32" s="29">
        <v>0</v>
      </c>
      <c r="FG32" s="29">
        <v>0</v>
      </c>
      <c r="FH32" s="29">
        <v>0</v>
      </c>
      <c r="FK32" s="29">
        <v>0</v>
      </c>
      <c r="FN32" s="29">
        <v>0</v>
      </c>
      <c r="FO32" s="29">
        <v>0</v>
      </c>
      <c r="FQ32" s="29">
        <v>0</v>
      </c>
      <c r="FT32" s="29">
        <v>0</v>
      </c>
      <c r="FU32" s="29">
        <v>0</v>
      </c>
      <c r="FV32" s="29">
        <v>0</v>
      </c>
      <c r="FW32" s="29">
        <v>0</v>
      </c>
      <c r="FX32" s="29">
        <v>0</v>
      </c>
      <c r="FY32" s="29">
        <v>0</v>
      </c>
      <c r="FZ32" s="29">
        <v>0</v>
      </c>
      <c r="GA32" s="25"/>
      <c r="GB32" s="25"/>
      <c r="GC32" s="25" t="s">
        <v>260</v>
      </c>
      <c r="GD32" s="38" t="s">
        <v>366</v>
      </c>
      <c r="GE32" s="38"/>
      <c r="GF32" s="39"/>
      <c r="GG32" s="39"/>
    </row>
    <row r="33" spans="1:189" ht="15.6" x14ac:dyDescent="0.3">
      <c r="A33" s="25" t="s">
        <v>297</v>
      </c>
      <c r="B33" s="25">
        <v>71113</v>
      </c>
      <c r="C33" s="25"/>
      <c r="D33" s="25"/>
      <c r="E33" s="25"/>
      <c r="F33" s="25"/>
      <c r="G33" s="25"/>
      <c r="H33" s="25"/>
      <c r="I33" s="25"/>
      <c r="J33" s="25">
        <v>3</v>
      </c>
      <c r="K33" s="25" t="s">
        <v>367</v>
      </c>
      <c r="L33" s="25" t="s">
        <v>368</v>
      </c>
      <c r="M33" s="25" t="s">
        <v>369</v>
      </c>
      <c r="N33" s="25" t="s">
        <v>370</v>
      </c>
      <c r="O33" s="36">
        <v>1.1805555555555555E-2</v>
      </c>
      <c r="P33" s="37">
        <v>46193</v>
      </c>
      <c r="Q33" s="29">
        <f t="shared" si="19"/>
        <v>0</v>
      </c>
      <c r="R33" s="29">
        <f t="shared" si="19"/>
        <v>0</v>
      </c>
      <c r="S33" s="29">
        <v>0</v>
      </c>
      <c r="T33" s="29">
        <v>0</v>
      </c>
      <c r="U33" s="29">
        <v>0</v>
      </c>
      <c r="V33" s="29">
        <v>0</v>
      </c>
      <c r="W33" s="29">
        <v>0</v>
      </c>
      <c r="X33" s="29">
        <v>0</v>
      </c>
      <c r="Y33" s="29">
        <v>0</v>
      </c>
      <c r="Z33" s="29">
        <v>0</v>
      </c>
      <c r="AA33" s="29">
        <v>0</v>
      </c>
      <c r="AB33" s="29">
        <v>0</v>
      </c>
      <c r="AC33" s="29">
        <v>0</v>
      </c>
      <c r="AD33" s="29">
        <v>0</v>
      </c>
      <c r="AF33" s="29">
        <v>0</v>
      </c>
      <c r="AH33" s="29">
        <v>0</v>
      </c>
      <c r="AI33" s="29">
        <v>0</v>
      </c>
      <c r="AJ33" s="29">
        <v>0</v>
      </c>
      <c r="AK33" s="29">
        <v>0</v>
      </c>
      <c r="AL33" s="29">
        <v>0</v>
      </c>
      <c r="AM33" s="29">
        <v>0</v>
      </c>
      <c r="AN33" s="29">
        <f t="shared" si="20"/>
        <v>0</v>
      </c>
      <c r="AO33" s="29">
        <f t="shared" si="20"/>
        <v>0</v>
      </c>
      <c r="AP33" s="29">
        <v>0</v>
      </c>
      <c r="AR33" s="29">
        <v>0</v>
      </c>
      <c r="AS33" s="29">
        <v>0</v>
      </c>
      <c r="AT33" s="29">
        <v>0</v>
      </c>
      <c r="AU33" s="29">
        <v>0</v>
      </c>
      <c r="AV33" s="29">
        <v>0</v>
      </c>
      <c r="AW33" s="29">
        <v>0</v>
      </c>
      <c r="AX33" s="29">
        <f t="shared" si="21"/>
        <v>0</v>
      </c>
      <c r="AY33" s="29">
        <f t="shared" si="21"/>
        <v>0</v>
      </c>
      <c r="AZ33" s="29">
        <v>0</v>
      </c>
      <c r="BD33" s="29">
        <v>0</v>
      </c>
      <c r="BE33" s="29">
        <v>0</v>
      </c>
      <c r="BF33" s="29">
        <v>0</v>
      </c>
      <c r="BG33" s="29">
        <v>0</v>
      </c>
      <c r="BH33" s="29">
        <f t="shared" si="22"/>
        <v>0</v>
      </c>
      <c r="BI33" s="29">
        <f t="shared" si="22"/>
        <v>0</v>
      </c>
      <c r="BJ33" s="29">
        <v>0</v>
      </c>
      <c r="BN33" s="29">
        <v>0</v>
      </c>
      <c r="BQ33" s="29">
        <v>0</v>
      </c>
      <c r="BT33" s="29">
        <v>0</v>
      </c>
      <c r="BW33" s="29">
        <v>0</v>
      </c>
      <c r="BZ33" s="29">
        <v>0</v>
      </c>
      <c r="CC33" s="29">
        <v>0</v>
      </c>
      <c r="CF33" s="29">
        <v>0</v>
      </c>
      <c r="CL33" s="29">
        <v>0</v>
      </c>
      <c r="CM33" s="29">
        <v>0</v>
      </c>
      <c r="CN33" s="29">
        <v>0</v>
      </c>
      <c r="CO33" s="29">
        <v>0</v>
      </c>
      <c r="CP33" s="29">
        <f t="shared" si="23"/>
        <v>0</v>
      </c>
      <c r="CQ33" s="29">
        <f t="shared" si="23"/>
        <v>0</v>
      </c>
      <c r="CR33" s="29">
        <v>0</v>
      </c>
      <c r="CV33" s="29">
        <v>0</v>
      </c>
      <c r="CW33" s="29">
        <v>0</v>
      </c>
      <c r="CX33" s="29">
        <v>0</v>
      </c>
      <c r="CY33" s="29">
        <v>0</v>
      </c>
      <c r="CZ33" s="29">
        <f t="shared" si="24"/>
        <v>0</v>
      </c>
      <c r="DA33" s="29">
        <f t="shared" si="24"/>
        <v>0</v>
      </c>
      <c r="DB33" s="29">
        <v>0</v>
      </c>
      <c r="DC33" s="29">
        <v>0</v>
      </c>
      <c r="DF33" s="29">
        <v>0</v>
      </c>
      <c r="DG33" s="29">
        <v>0</v>
      </c>
      <c r="DH33" s="29">
        <v>0</v>
      </c>
      <c r="DK33" s="29">
        <v>0</v>
      </c>
      <c r="DL33" s="29">
        <v>0</v>
      </c>
      <c r="DM33" s="29">
        <v>0</v>
      </c>
      <c r="DN33" s="29">
        <v>0</v>
      </c>
      <c r="DO33" s="29">
        <f t="shared" si="25"/>
        <v>0</v>
      </c>
      <c r="DP33" s="29">
        <f t="shared" si="25"/>
        <v>0</v>
      </c>
      <c r="DQ33" s="29">
        <v>0</v>
      </c>
      <c r="DR33" s="29">
        <v>0</v>
      </c>
      <c r="DU33" s="29">
        <v>0</v>
      </c>
      <c r="DV33" s="29">
        <v>0</v>
      </c>
      <c r="DW33" s="29">
        <v>0</v>
      </c>
      <c r="DX33" s="29">
        <v>0</v>
      </c>
      <c r="DY33" s="29">
        <f t="shared" si="26"/>
        <v>0</v>
      </c>
      <c r="DZ33" s="29">
        <f t="shared" si="26"/>
        <v>0</v>
      </c>
      <c r="EA33" s="29">
        <v>0</v>
      </c>
      <c r="EC33" s="29">
        <v>0</v>
      </c>
      <c r="EE33" s="29">
        <v>0</v>
      </c>
      <c r="EF33" s="29">
        <v>0</v>
      </c>
      <c r="EH33" s="29">
        <v>0</v>
      </c>
      <c r="EI33" s="29">
        <f t="shared" si="27"/>
        <v>0</v>
      </c>
      <c r="EJ33" s="29">
        <f t="shared" si="27"/>
        <v>0</v>
      </c>
      <c r="EK33" s="29">
        <v>0</v>
      </c>
      <c r="EL33" s="29">
        <v>0</v>
      </c>
      <c r="EM33" s="29">
        <v>0</v>
      </c>
      <c r="EN33" s="29">
        <v>0</v>
      </c>
      <c r="EO33" s="29">
        <v>0</v>
      </c>
      <c r="EP33" s="29">
        <v>0</v>
      </c>
      <c r="EQ33" s="29">
        <v>0</v>
      </c>
      <c r="ES33" s="29">
        <v>0</v>
      </c>
      <c r="ET33" s="29">
        <v>0</v>
      </c>
      <c r="EU33" s="29">
        <v>0</v>
      </c>
      <c r="EV33" s="29">
        <v>0</v>
      </c>
      <c r="EW33" s="29">
        <v>0</v>
      </c>
      <c r="EX33" s="29">
        <v>0</v>
      </c>
      <c r="EY33" s="29">
        <v>0</v>
      </c>
      <c r="EZ33" s="29">
        <v>0</v>
      </c>
      <c r="FA33" s="29">
        <v>0</v>
      </c>
      <c r="FB33" s="29">
        <f t="shared" si="28"/>
        <v>0</v>
      </c>
      <c r="FC33" s="29">
        <v>0</v>
      </c>
      <c r="FD33" s="29">
        <v>0</v>
      </c>
      <c r="FE33" s="29">
        <v>0</v>
      </c>
      <c r="FF33" s="29">
        <v>0</v>
      </c>
      <c r="FG33" s="29">
        <v>0</v>
      </c>
      <c r="FH33" s="29">
        <v>0</v>
      </c>
      <c r="FK33" s="29">
        <v>0</v>
      </c>
      <c r="FN33" s="29">
        <v>0</v>
      </c>
      <c r="FO33" s="29">
        <v>0</v>
      </c>
      <c r="FQ33" s="29">
        <v>0</v>
      </c>
      <c r="FT33" s="29">
        <v>0</v>
      </c>
      <c r="FU33" s="29">
        <v>0</v>
      </c>
      <c r="FV33" s="29">
        <v>0</v>
      </c>
      <c r="FW33" s="29">
        <v>0</v>
      </c>
      <c r="FX33" s="29">
        <v>0</v>
      </c>
      <c r="FY33" s="29">
        <v>0</v>
      </c>
      <c r="FZ33" s="29">
        <v>0</v>
      </c>
      <c r="GA33" s="46"/>
      <c r="GB33" s="46"/>
      <c r="GC33" s="25" t="s">
        <v>210</v>
      </c>
      <c r="GD33" s="38" t="s">
        <v>371</v>
      </c>
      <c r="GE33" s="38"/>
      <c r="GF33" s="39"/>
      <c r="GG33" s="39"/>
    </row>
    <row r="34" spans="1:189" ht="15.6" x14ac:dyDescent="0.3">
      <c r="A34" s="25" t="s">
        <v>372</v>
      </c>
      <c r="B34" s="25">
        <v>73256</v>
      </c>
      <c r="C34" s="25"/>
      <c r="D34" s="25"/>
      <c r="E34" s="25"/>
      <c r="F34" s="25"/>
      <c r="G34" s="25"/>
      <c r="H34" s="25"/>
      <c r="I34" s="25"/>
      <c r="J34" s="25">
        <v>4</v>
      </c>
      <c r="K34" s="25" t="s">
        <v>373</v>
      </c>
      <c r="L34" s="25" t="s">
        <v>374</v>
      </c>
      <c r="M34" s="25" t="s">
        <v>375</v>
      </c>
      <c r="N34" s="25" t="s">
        <v>251</v>
      </c>
      <c r="O34" s="36">
        <v>0.94027777777777777</v>
      </c>
      <c r="P34" s="37">
        <v>46226</v>
      </c>
      <c r="Q34" s="29">
        <f t="shared" si="19"/>
        <v>0</v>
      </c>
      <c r="R34" s="29">
        <f t="shared" si="19"/>
        <v>0</v>
      </c>
      <c r="S34" s="29">
        <v>0</v>
      </c>
      <c r="T34" s="29">
        <v>0</v>
      </c>
      <c r="U34" s="29">
        <v>0</v>
      </c>
      <c r="V34" s="29">
        <v>0</v>
      </c>
      <c r="W34" s="29">
        <v>0</v>
      </c>
      <c r="X34" s="29">
        <v>0</v>
      </c>
      <c r="Y34" s="29">
        <v>0</v>
      </c>
      <c r="Z34" s="29">
        <v>0</v>
      </c>
      <c r="AA34" s="29">
        <v>0</v>
      </c>
      <c r="AB34" s="29">
        <v>0</v>
      </c>
      <c r="AC34" s="29">
        <v>0</v>
      </c>
      <c r="AD34" s="29">
        <v>0</v>
      </c>
      <c r="AF34" s="29">
        <v>0</v>
      </c>
      <c r="AH34" s="29">
        <v>0</v>
      </c>
      <c r="AI34" s="29">
        <v>0</v>
      </c>
      <c r="AJ34" s="29">
        <v>0</v>
      </c>
      <c r="AK34" s="29">
        <v>0</v>
      </c>
      <c r="AL34" s="29">
        <v>0</v>
      </c>
      <c r="AM34" s="29">
        <v>0</v>
      </c>
      <c r="AN34" s="29">
        <f t="shared" si="20"/>
        <v>0</v>
      </c>
      <c r="AO34" s="29">
        <f t="shared" si="20"/>
        <v>0</v>
      </c>
      <c r="AP34" s="29">
        <v>0</v>
      </c>
      <c r="AR34" s="29">
        <v>0</v>
      </c>
      <c r="AS34" s="29">
        <v>0</v>
      </c>
      <c r="AT34" s="29">
        <v>0</v>
      </c>
      <c r="AU34" s="29">
        <v>0</v>
      </c>
      <c r="AV34" s="29">
        <v>0</v>
      </c>
      <c r="AW34" s="29">
        <v>0</v>
      </c>
      <c r="AX34" s="29">
        <f t="shared" si="21"/>
        <v>0</v>
      </c>
      <c r="AY34" s="29">
        <f t="shared" si="21"/>
        <v>0</v>
      </c>
      <c r="AZ34" s="29">
        <v>0</v>
      </c>
      <c r="BD34" s="29">
        <v>0</v>
      </c>
      <c r="BE34" s="29">
        <v>0</v>
      </c>
      <c r="BF34" s="29">
        <v>0</v>
      </c>
      <c r="BG34" s="29">
        <v>0</v>
      </c>
      <c r="BH34" s="29">
        <f t="shared" si="22"/>
        <v>0</v>
      </c>
      <c r="BI34" s="29">
        <f t="shared" si="22"/>
        <v>0</v>
      </c>
      <c r="BJ34" s="29">
        <v>0</v>
      </c>
      <c r="BN34" s="29">
        <v>0</v>
      </c>
      <c r="BQ34" s="29">
        <v>0</v>
      </c>
      <c r="BT34" s="29">
        <v>0</v>
      </c>
      <c r="BW34" s="29">
        <v>0</v>
      </c>
      <c r="BZ34" s="29">
        <v>0</v>
      </c>
      <c r="CC34" s="29">
        <v>0</v>
      </c>
      <c r="CF34" s="29">
        <v>0</v>
      </c>
      <c r="CL34" s="29">
        <v>0</v>
      </c>
      <c r="CM34" s="29">
        <v>0</v>
      </c>
      <c r="CN34" s="29">
        <v>0</v>
      </c>
      <c r="CO34" s="29">
        <v>0</v>
      </c>
      <c r="CP34" s="29">
        <f t="shared" si="23"/>
        <v>0</v>
      </c>
      <c r="CQ34" s="29">
        <f t="shared" si="23"/>
        <v>0</v>
      </c>
      <c r="CR34" s="29">
        <v>0</v>
      </c>
      <c r="CV34" s="29">
        <v>0</v>
      </c>
      <c r="CW34" s="29">
        <v>0</v>
      </c>
      <c r="CX34" s="29">
        <v>0</v>
      </c>
      <c r="CY34" s="29">
        <v>0</v>
      </c>
      <c r="CZ34" s="29">
        <f t="shared" si="24"/>
        <v>0</v>
      </c>
      <c r="DA34" s="29">
        <f t="shared" si="24"/>
        <v>0</v>
      </c>
      <c r="DB34" s="29">
        <v>0</v>
      </c>
      <c r="DC34" s="29">
        <v>0</v>
      </c>
      <c r="DF34" s="29">
        <v>0</v>
      </c>
      <c r="DG34" s="29">
        <v>0</v>
      </c>
      <c r="DH34" s="29">
        <v>0</v>
      </c>
      <c r="DK34" s="29">
        <v>0</v>
      </c>
      <c r="DL34" s="29">
        <v>0</v>
      </c>
      <c r="DM34" s="29">
        <v>0</v>
      </c>
      <c r="DN34" s="29">
        <v>0</v>
      </c>
      <c r="DO34" s="29">
        <f t="shared" si="25"/>
        <v>0</v>
      </c>
      <c r="DP34" s="29">
        <f t="shared" si="25"/>
        <v>0</v>
      </c>
      <c r="DQ34" s="29">
        <v>0</v>
      </c>
      <c r="DR34" s="29">
        <v>0</v>
      </c>
      <c r="DU34" s="29">
        <v>0</v>
      </c>
      <c r="DV34" s="29">
        <v>0</v>
      </c>
      <c r="DW34" s="29">
        <v>0</v>
      </c>
      <c r="DX34" s="29">
        <v>0</v>
      </c>
      <c r="DY34" s="29">
        <f t="shared" si="26"/>
        <v>0</v>
      </c>
      <c r="DZ34" s="29">
        <f t="shared" si="26"/>
        <v>0</v>
      </c>
      <c r="EA34" s="29">
        <v>0</v>
      </c>
      <c r="EC34" s="29">
        <v>0</v>
      </c>
      <c r="EE34" s="29">
        <v>0</v>
      </c>
      <c r="EF34" s="29">
        <v>0</v>
      </c>
      <c r="EH34" s="29">
        <v>0</v>
      </c>
      <c r="EI34" s="29">
        <f t="shared" si="27"/>
        <v>0</v>
      </c>
      <c r="EJ34" s="29">
        <f t="shared" si="27"/>
        <v>0</v>
      </c>
      <c r="EK34" s="29">
        <v>0</v>
      </c>
      <c r="EL34" s="29">
        <v>0</v>
      </c>
      <c r="EM34" s="29">
        <v>0</v>
      </c>
      <c r="EN34" s="29">
        <v>0</v>
      </c>
      <c r="EO34" s="29">
        <v>0</v>
      </c>
      <c r="EP34" s="29">
        <v>0</v>
      </c>
      <c r="EQ34" s="29">
        <v>0</v>
      </c>
      <c r="ES34" s="29">
        <v>0</v>
      </c>
      <c r="ET34" s="29">
        <v>0</v>
      </c>
      <c r="EU34" s="29">
        <v>0</v>
      </c>
      <c r="EV34" s="29">
        <v>0</v>
      </c>
      <c r="EW34" s="29">
        <v>0</v>
      </c>
      <c r="EX34" s="29">
        <v>0</v>
      </c>
      <c r="EY34" s="29">
        <v>0</v>
      </c>
      <c r="EZ34" s="29">
        <v>0</v>
      </c>
      <c r="FA34" s="29">
        <v>0</v>
      </c>
      <c r="FB34" s="29">
        <f t="shared" si="28"/>
        <v>0</v>
      </c>
      <c r="FC34" s="29">
        <v>0</v>
      </c>
      <c r="FD34" s="29">
        <v>0</v>
      </c>
      <c r="FE34" s="29">
        <v>0</v>
      </c>
      <c r="FF34" s="29">
        <v>0</v>
      </c>
      <c r="FG34" s="29">
        <v>0</v>
      </c>
      <c r="FH34" s="29">
        <v>0</v>
      </c>
      <c r="FK34" s="29">
        <v>0</v>
      </c>
      <c r="FN34" s="29">
        <v>0</v>
      </c>
      <c r="FO34" s="29">
        <v>0</v>
      </c>
      <c r="FQ34" s="29">
        <v>0</v>
      </c>
      <c r="FT34" s="29">
        <v>0</v>
      </c>
      <c r="FU34" s="29">
        <v>0</v>
      </c>
      <c r="FV34" s="29">
        <v>0</v>
      </c>
      <c r="FW34" s="29">
        <v>0</v>
      </c>
      <c r="FX34" s="29">
        <v>0</v>
      </c>
      <c r="FY34" s="29">
        <v>0</v>
      </c>
      <c r="FZ34" s="29">
        <v>0</v>
      </c>
      <c r="GA34" s="48"/>
      <c r="GB34" s="48"/>
      <c r="GC34" s="25" t="s">
        <v>285</v>
      </c>
      <c r="GD34" s="38" t="s">
        <v>376</v>
      </c>
      <c r="GE34" s="38"/>
      <c r="GF34" s="39"/>
      <c r="GG34" s="39"/>
    </row>
    <row r="35" spans="1:189" ht="15.6" x14ac:dyDescent="0.3">
      <c r="A35" s="25" t="s">
        <v>320</v>
      </c>
      <c r="B35" s="25">
        <v>62296</v>
      </c>
      <c r="C35" s="25"/>
      <c r="D35" s="25"/>
      <c r="E35" s="25"/>
      <c r="F35" s="25"/>
      <c r="G35" s="25"/>
      <c r="H35" s="25"/>
      <c r="I35" s="25"/>
      <c r="J35" s="25">
        <v>3</v>
      </c>
      <c r="K35" s="25" t="s">
        <v>377</v>
      </c>
      <c r="L35" s="25" t="s">
        <v>378</v>
      </c>
      <c r="M35" s="58" t="s">
        <v>379</v>
      </c>
      <c r="N35" s="25" t="s">
        <v>361</v>
      </c>
      <c r="O35" s="36">
        <v>0.66180555555555554</v>
      </c>
      <c r="P35" s="37">
        <v>46195</v>
      </c>
      <c r="Q35" s="29">
        <f t="shared" si="19"/>
        <v>0</v>
      </c>
      <c r="R35" s="29">
        <f t="shared" si="19"/>
        <v>0</v>
      </c>
      <c r="S35" s="29">
        <v>0</v>
      </c>
      <c r="T35" s="29">
        <v>0</v>
      </c>
      <c r="U35" s="29">
        <v>0</v>
      </c>
      <c r="V35" s="29">
        <v>0</v>
      </c>
      <c r="W35" s="29">
        <v>0</v>
      </c>
      <c r="X35" s="29">
        <v>0</v>
      </c>
      <c r="Y35" s="29">
        <v>0</v>
      </c>
      <c r="Z35" s="29">
        <v>0</v>
      </c>
      <c r="AA35" s="29">
        <v>0</v>
      </c>
      <c r="AB35" s="29">
        <v>0</v>
      </c>
      <c r="AC35" s="29">
        <v>0</v>
      </c>
      <c r="AD35" s="29">
        <v>0</v>
      </c>
      <c r="AF35" s="29">
        <v>0</v>
      </c>
      <c r="AH35" s="29">
        <v>0</v>
      </c>
      <c r="AI35" s="29">
        <v>0</v>
      </c>
      <c r="AJ35" s="29">
        <v>0</v>
      </c>
      <c r="AK35" s="29">
        <v>0</v>
      </c>
      <c r="AL35" s="29">
        <v>0</v>
      </c>
      <c r="AM35" s="29">
        <v>0</v>
      </c>
      <c r="AN35" s="29">
        <f t="shared" si="20"/>
        <v>0</v>
      </c>
      <c r="AO35" s="29">
        <f t="shared" si="20"/>
        <v>0</v>
      </c>
      <c r="AP35" s="29">
        <v>0</v>
      </c>
      <c r="AR35" s="29">
        <v>0</v>
      </c>
      <c r="AS35" s="29">
        <v>0</v>
      </c>
      <c r="AT35" s="29">
        <v>0</v>
      </c>
      <c r="AU35" s="29">
        <v>0</v>
      </c>
      <c r="AV35" s="29">
        <v>0</v>
      </c>
      <c r="AW35" s="29">
        <v>0</v>
      </c>
      <c r="AX35" s="29">
        <f t="shared" si="21"/>
        <v>0</v>
      </c>
      <c r="AY35" s="29">
        <f t="shared" si="21"/>
        <v>0</v>
      </c>
      <c r="AZ35" s="29">
        <v>0</v>
      </c>
      <c r="BD35" s="29">
        <v>0</v>
      </c>
      <c r="BE35" s="29">
        <v>0</v>
      </c>
      <c r="BF35" s="29">
        <v>0</v>
      </c>
      <c r="BG35" s="29">
        <v>0</v>
      </c>
      <c r="BH35" s="29">
        <f t="shared" si="22"/>
        <v>0</v>
      </c>
      <c r="BI35" s="29">
        <f t="shared" si="22"/>
        <v>0</v>
      </c>
      <c r="BJ35" s="29">
        <v>0</v>
      </c>
      <c r="BN35" s="29">
        <v>0</v>
      </c>
      <c r="BQ35" s="29">
        <v>0</v>
      </c>
      <c r="BT35" s="29">
        <v>0</v>
      </c>
      <c r="BW35" s="29">
        <v>0</v>
      </c>
      <c r="BZ35" s="29">
        <v>0</v>
      </c>
      <c r="CC35" s="29">
        <v>0</v>
      </c>
      <c r="CF35" s="29">
        <v>0</v>
      </c>
      <c r="CL35" s="29">
        <v>0</v>
      </c>
      <c r="CM35" s="29">
        <v>0</v>
      </c>
      <c r="CN35" s="29">
        <v>0</v>
      </c>
      <c r="CO35" s="29">
        <v>0</v>
      </c>
      <c r="CP35" s="29">
        <f t="shared" si="23"/>
        <v>0</v>
      </c>
      <c r="CQ35" s="29">
        <f t="shared" si="23"/>
        <v>0</v>
      </c>
      <c r="CR35" s="29">
        <v>0</v>
      </c>
      <c r="CV35" s="29">
        <v>0</v>
      </c>
      <c r="CW35" s="29">
        <v>0</v>
      </c>
      <c r="CX35" s="29">
        <v>0</v>
      </c>
      <c r="CY35" s="29">
        <v>0</v>
      </c>
      <c r="CZ35" s="29">
        <f t="shared" si="24"/>
        <v>0</v>
      </c>
      <c r="DA35" s="29">
        <f t="shared" si="24"/>
        <v>0</v>
      </c>
      <c r="DB35" s="29">
        <v>0</v>
      </c>
      <c r="DC35" s="29">
        <v>0</v>
      </c>
      <c r="DF35" s="29">
        <v>0</v>
      </c>
      <c r="DG35" s="29">
        <v>0</v>
      </c>
      <c r="DH35" s="29">
        <v>0</v>
      </c>
      <c r="DK35" s="29">
        <v>0</v>
      </c>
      <c r="DL35" s="29">
        <v>0</v>
      </c>
      <c r="DM35" s="29">
        <v>0</v>
      </c>
      <c r="DN35" s="29">
        <v>0</v>
      </c>
      <c r="DO35" s="29">
        <f t="shared" si="25"/>
        <v>0</v>
      </c>
      <c r="DP35" s="29">
        <f t="shared" si="25"/>
        <v>0</v>
      </c>
      <c r="DQ35" s="29">
        <v>0</v>
      </c>
      <c r="DR35" s="29">
        <v>0</v>
      </c>
      <c r="DU35" s="29">
        <v>0</v>
      </c>
      <c r="DV35" s="29">
        <v>0</v>
      </c>
      <c r="DW35" s="29">
        <v>0</v>
      </c>
      <c r="DX35" s="29">
        <v>0</v>
      </c>
      <c r="DY35" s="29">
        <f t="shared" si="26"/>
        <v>0</v>
      </c>
      <c r="DZ35" s="29">
        <f t="shared" si="26"/>
        <v>0</v>
      </c>
      <c r="EA35" s="29">
        <v>0</v>
      </c>
      <c r="EC35" s="29">
        <v>0</v>
      </c>
      <c r="EE35" s="29">
        <v>0</v>
      </c>
      <c r="EF35" s="29">
        <v>0</v>
      </c>
      <c r="EH35" s="29">
        <v>0</v>
      </c>
      <c r="EI35" s="29">
        <f t="shared" si="27"/>
        <v>0</v>
      </c>
      <c r="EJ35" s="29">
        <f t="shared" si="27"/>
        <v>0</v>
      </c>
      <c r="EK35" s="29">
        <v>0</v>
      </c>
      <c r="EL35" s="29">
        <v>0</v>
      </c>
      <c r="EM35" s="29">
        <v>0</v>
      </c>
      <c r="EN35" s="29">
        <v>0</v>
      </c>
      <c r="EO35" s="29">
        <v>0</v>
      </c>
      <c r="EP35" s="29">
        <v>0</v>
      </c>
      <c r="EQ35" s="29">
        <v>0</v>
      </c>
      <c r="ES35" s="29">
        <v>0</v>
      </c>
      <c r="ET35" s="29">
        <v>0</v>
      </c>
      <c r="EU35" s="29">
        <v>0</v>
      </c>
      <c r="EV35" s="29">
        <v>0</v>
      </c>
      <c r="EW35" s="29">
        <v>0</v>
      </c>
      <c r="EX35" s="29">
        <v>0</v>
      </c>
      <c r="EY35" s="29">
        <v>0</v>
      </c>
      <c r="EZ35" s="29">
        <v>0</v>
      </c>
      <c r="FA35" s="29">
        <v>0</v>
      </c>
      <c r="FB35" s="29">
        <f t="shared" si="28"/>
        <v>0</v>
      </c>
      <c r="FC35" s="29">
        <v>0</v>
      </c>
      <c r="FD35" s="29">
        <v>0</v>
      </c>
      <c r="FE35" s="29">
        <v>0</v>
      </c>
      <c r="FF35" s="29">
        <v>0</v>
      </c>
      <c r="FG35" s="29">
        <v>0</v>
      </c>
      <c r="FH35" s="29">
        <v>0</v>
      </c>
      <c r="FK35" s="29">
        <v>0</v>
      </c>
      <c r="FN35" s="29">
        <v>0</v>
      </c>
      <c r="FO35" s="29">
        <v>0</v>
      </c>
      <c r="FQ35" s="29">
        <v>0</v>
      </c>
      <c r="FT35" s="29">
        <v>0</v>
      </c>
      <c r="FU35" s="29">
        <v>0</v>
      </c>
      <c r="FV35" s="29">
        <v>0</v>
      </c>
      <c r="FW35" s="29">
        <v>0</v>
      </c>
      <c r="FX35" s="29">
        <v>0</v>
      </c>
      <c r="FY35" s="29">
        <v>0</v>
      </c>
      <c r="FZ35" s="29">
        <v>0</v>
      </c>
      <c r="GA35" s="25"/>
      <c r="GB35" s="25"/>
      <c r="GC35" s="25" t="s">
        <v>196</v>
      </c>
      <c r="GD35" s="38" t="s">
        <v>380</v>
      </c>
      <c r="GE35" s="38"/>
      <c r="GF35" s="39"/>
      <c r="GG35" s="39"/>
    </row>
    <row r="36" spans="1:189" ht="31.2" x14ac:dyDescent="0.3">
      <c r="A36" s="25" t="s">
        <v>199</v>
      </c>
      <c r="B36" s="25">
        <v>72111</v>
      </c>
      <c r="C36" s="25"/>
      <c r="D36" s="25"/>
      <c r="E36" s="25"/>
      <c r="F36" s="25"/>
      <c r="G36" s="25"/>
      <c r="H36" s="25"/>
      <c r="I36" s="25"/>
      <c r="J36" s="25">
        <v>4</v>
      </c>
      <c r="K36" s="25" t="s">
        <v>381</v>
      </c>
      <c r="L36" s="25" t="s">
        <v>382</v>
      </c>
      <c r="M36" s="58" t="s">
        <v>383</v>
      </c>
      <c r="N36" s="25" t="s">
        <v>251</v>
      </c>
      <c r="O36" s="36">
        <v>0.53055555555555556</v>
      </c>
      <c r="P36" s="37">
        <v>46221</v>
      </c>
      <c r="Q36" s="29">
        <f t="shared" si="19"/>
        <v>0</v>
      </c>
      <c r="R36" s="29">
        <f t="shared" si="19"/>
        <v>0</v>
      </c>
      <c r="S36" s="29">
        <v>0</v>
      </c>
      <c r="T36" s="29">
        <v>0</v>
      </c>
      <c r="U36" s="29">
        <v>0</v>
      </c>
      <c r="V36" s="29">
        <v>0</v>
      </c>
      <c r="W36" s="29">
        <v>0</v>
      </c>
      <c r="X36" s="29">
        <v>0</v>
      </c>
      <c r="Y36" s="29">
        <v>0</v>
      </c>
      <c r="Z36" s="29">
        <v>0</v>
      </c>
      <c r="AA36" s="29">
        <v>0</v>
      </c>
      <c r="AB36" s="29">
        <v>0</v>
      </c>
      <c r="AC36" s="29">
        <v>0</v>
      </c>
      <c r="AD36" s="29">
        <v>0</v>
      </c>
      <c r="AF36" s="29">
        <v>0</v>
      </c>
      <c r="AH36" s="29">
        <v>0</v>
      </c>
      <c r="AI36" s="29">
        <v>0</v>
      </c>
      <c r="AJ36" s="29">
        <v>0</v>
      </c>
      <c r="AK36" s="29">
        <v>0</v>
      </c>
      <c r="AL36" s="29">
        <v>0</v>
      </c>
      <c r="AM36" s="29">
        <v>0</v>
      </c>
      <c r="AN36" s="29">
        <f t="shared" si="20"/>
        <v>0</v>
      </c>
      <c r="AO36" s="29">
        <f t="shared" si="20"/>
        <v>0</v>
      </c>
      <c r="AP36" s="29">
        <v>0</v>
      </c>
      <c r="AR36" s="29">
        <v>0</v>
      </c>
      <c r="AS36" s="29">
        <v>0</v>
      </c>
      <c r="AT36" s="29">
        <v>0</v>
      </c>
      <c r="AU36" s="29">
        <v>0</v>
      </c>
      <c r="AV36" s="29">
        <v>0</v>
      </c>
      <c r="AW36" s="29">
        <v>0</v>
      </c>
      <c r="AX36" s="29">
        <f t="shared" si="21"/>
        <v>0</v>
      </c>
      <c r="AY36" s="29">
        <f t="shared" si="21"/>
        <v>0</v>
      </c>
      <c r="AZ36" s="29">
        <v>0</v>
      </c>
      <c r="BD36" s="29">
        <v>0</v>
      </c>
      <c r="BE36" s="29">
        <v>0</v>
      </c>
      <c r="BF36" s="29">
        <v>0</v>
      </c>
      <c r="BG36" s="29">
        <v>0</v>
      </c>
      <c r="BH36" s="29">
        <f t="shared" si="22"/>
        <v>0</v>
      </c>
      <c r="BI36" s="29">
        <f t="shared" si="22"/>
        <v>0</v>
      </c>
      <c r="BJ36" s="29">
        <v>0</v>
      </c>
      <c r="BN36" s="29">
        <v>0</v>
      </c>
      <c r="BQ36" s="29">
        <v>0</v>
      </c>
      <c r="BT36" s="29">
        <v>0</v>
      </c>
      <c r="BW36" s="29">
        <v>0</v>
      </c>
      <c r="BZ36" s="29">
        <v>0</v>
      </c>
      <c r="CC36" s="29">
        <v>0</v>
      </c>
      <c r="CF36" s="29">
        <v>0</v>
      </c>
      <c r="CL36" s="29">
        <v>0</v>
      </c>
      <c r="CM36" s="29">
        <v>0</v>
      </c>
      <c r="CN36" s="29">
        <v>0</v>
      </c>
      <c r="CO36" s="29">
        <v>0</v>
      </c>
      <c r="CP36" s="29">
        <f t="shared" si="23"/>
        <v>0</v>
      </c>
      <c r="CQ36" s="29">
        <f t="shared" si="23"/>
        <v>0</v>
      </c>
      <c r="CR36" s="29">
        <v>0</v>
      </c>
      <c r="CV36" s="29">
        <v>0</v>
      </c>
      <c r="CW36" s="29">
        <v>0</v>
      </c>
      <c r="CX36" s="29">
        <v>0</v>
      </c>
      <c r="CY36" s="29">
        <v>0</v>
      </c>
      <c r="CZ36" s="29">
        <f t="shared" si="24"/>
        <v>0</v>
      </c>
      <c r="DA36" s="29">
        <f t="shared" si="24"/>
        <v>0</v>
      </c>
      <c r="DB36" s="29">
        <v>0</v>
      </c>
      <c r="DC36" s="29">
        <v>0</v>
      </c>
      <c r="DF36" s="29">
        <v>0</v>
      </c>
      <c r="DG36" s="29">
        <v>0</v>
      </c>
      <c r="DH36" s="29">
        <v>0</v>
      </c>
      <c r="DK36" s="29">
        <v>0</v>
      </c>
      <c r="DL36" s="29">
        <v>0</v>
      </c>
      <c r="DM36" s="29">
        <v>0</v>
      </c>
      <c r="DN36" s="29">
        <v>0</v>
      </c>
      <c r="DO36" s="29">
        <f t="shared" si="25"/>
        <v>0</v>
      </c>
      <c r="DP36" s="29">
        <f t="shared" si="25"/>
        <v>0</v>
      </c>
      <c r="DQ36" s="29">
        <v>0</v>
      </c>
      <c r="DR36" s="29">
        <v>0</v>
      </c>
      <c r="DU36" s="29">
        <v>0</v>
      </c>
      <c r="DV36" s="29">
        <v>0</v>
      </c>
      <c r="DW36" s="29">
        <v>0</v>
      </c>
      <c r="DX36" s="29">
        <v>0</v>
      </c>
      <c r="DY36" s="29">
        <f t="shared" si="26"/>
        <v>0</v>
      </c>
      <c r="DZ36" s="29">
        <f t="shared" si="26"/>
        <v>0</v>
      </c>
      <c r="EA36" s="29">
        <v>0</v>
      </c>
      <c r="EC36" s="29">
        <v>0</v>
      </c>
      <c r="EE36" s="29">
        <v>0</v>
      </c>
      <c r="EF36" s="29">
        <v>0</v>
      </c>
      <c r="EH36" s="29">
        <v>0</v>
      </c>
      <c r="EI36" s="29">
        <f t="shared" si="27"/>
        <v>0</v>
      </c>
      <c r="EJ36" s="29">
        <f t="shared" si="27"/>
        <v>0</v>
      </c>
      <c r="EK36" s="29">
        <v>0</v>
      </c>
      <c r="EL36" s="29">
        <v>0</v>
      </c>
      <c r="EM36" s="29">
        <v>0</v>
      </c>
      <c r="EN36" s="29">
        <v>0</v>
      </c>
      <c r="EO36" s="29">
        <v>0</v>
      </c>
      <c r="EP36" s="29">
        <v>0</v>
      </c>
      <c r="EQ36" s="29">
        <v>0</v>
      </c>
      <c r="ES36" s="29">
        <v>0</v>
      </c>
      <c r="ET36" s="29">
        <v>0</v>
      </c>
      <c r="EU36" s="29">
        <v>0</v>
      </c>
      <c r="EV36" s="29">
        <v>0</v>
      </c>
      <c r="EW36" s="29">
        <v>0</v>
      </c>
      <c r="EX36" s="29">
        <v>0</v>
      </c>
      <c r="EY36" s="29">
        <v>0</v>
      </c>
      <c r="EZ36" s="29">
        <v>0</v>
      </c>
      <c r="FA36" s="29">
        <v>0</v>
      </c>
      <c r="FB36" s="29">
        <f t="shared" si="28"/>
        <v>0</v>
      </c>
      <c r="FC36" s="29">
        <v>0</v>
      </c>
      <c r="FD36" s="29">
        <v>0</v>
      </c>
      <c r="FE36" s="29">
        <v>0</v>
      </c>
      <c r="FF36" s="29">
        <v>0</v>
      </c>
      <c r="FG36" s="29">
        <v>0</v>
      </c>
      <c r="FH36" s="29">
        <v>0</v>
      </c>
      <c r="FK36" s="29">
        <v>0</v>
      </c>
      <c r="FN36" s="29">
        <v>0</v>
      </c>
      <c r="FO36" s="29">
        <v>0</v>
      </c>
      <c r="FQ36" s="29">
        <v>0</v>
      </c>
      <c r="FT36" s="29">
        <v>0</v>
      </c>
      <c r="FU36" s="29">
        <v>0</v>
      </c>
      <c r="FV36" s="29">
        <v>0</v>
      </c>
      <c r="FW36" s="29">
        <v>0</v>
      </c>
      <c r="FX36" s="29">
        <v>0</v>
      </c>
      <c r="FY36" s="29">
        <v>0</v>
      </c>
      <c r="FZ36" s="29">
        <v>0</v>
      </c>
      <c r="GA36" s="25"/>
      <c r="GB36" s="25"/>
      <c r="GC36" s="25" t="s">
        <v>196</v>
      </c>
      <c r="GD36" s="38" t="s">
        <v>384</v>
      </c>
      <c r="GE36" s="38"/>
      <c r="GF36" s="39"/>
      <c r="GG36" s="39"/>
    </row>
    <row r="37" spans="1:189" ht="15.6" x14ac:dyDescent="0.3">
      <c r="A37" s="26" t="s">
        <v>385</v>
      </c>
      <c r="B37" s="26">
        <v>74130</v>
      </c>
      <c r="C37" s="26"/>
      <c r="D37" s="26"/>
      <c r="E37" s="26"/>
      <c r="F37" s="26"/>
      <c r="G37" s="26"/>
      <c r="H37" s="26"/>
      <c r="I37" s="26"/>
      <c r="J37" s="26">
        <v>1</v>
      </c>
      <c r="K37" s="26" t="s">
        <v>386</v>
      </c>
      <c r="L37" s="26" t="s">
        <v>387</v>
      </c>
      <c r="M37" s="26" t="s">
        <v>388</v>
      </c>
      <c r="N37" s="59" t="s">
        <v>335</v>
      </c>
      <c r="O37" s="27">
        <v>0.77777777777777779</v>
      </c>
      <c r="P37" s="28">
        <v>46135</v>
      </c>
      <c r="Q37" s="29">
        <f t="shared" ref="Q37:R44" si="29">SUM(S37,AN37,AX37,BH37,CP37,DF37,CZ37,DO37,DY37,EI37,ES37,EV37,FT37)</f>
        <v>0</v>
      </c>
      <c r="R37" s="29">
        <f t="shared" si="29"/>
        <v>0</v>
      </c>
      <c r="S37" s="29">
        <v>0</v>
      </c>
      <c r="T37" s="29">
        <v>0</v>
      </c>
      <c r="U37" s="29">
        <v>0</v>
      </c>
      <c r="V37" s="29">
        <v>0</v>
      </c>
      <c r="W37" s="29">
        <v>0</v>
      </c>
      <c r="X37" s="29">
        <v>0</v>
      </c>
      <c r="Y37" s="29">
        <v>0</v>
      </c>
      <c r="Z37" s="29">
        <v>0</v>
      </c>
      <c r="AA37" s="29">
        <v>0</v>
      </c>
      <c r="AB37" s="29">
        <v>0</v>
      </c>
      <c r="AC37" s="29">
        <v>0</v>
      </c>
      <c r="AD37" s="29">
        <v>0</v>
      </c>
      <c r="AF37" s="29">
        <v>0</v>
      </c>
      <c r="AH37" s="29">
        <v>0</v>
      </c>
      <c r="AI37" s="29">
        <v>0</v>
      </c>
      <c r="AJ37" s="29">
        <v>0</v>
      </c>
      <c r="AK37" s="29">
        <v>0</v>
      </c>
      <c r="AL37" s="29">
        <v>0</v>
      </c>
      <c r="AM37" s="29">
        <v>0</v>
      </c>
      <c r="AN37" s="29">
        <f t="shared" ref="AN37:AO44" si="30">SUM(AJ37,AL37)</f>
        <v>0</v>
      </c>
      <c r="AO37" s="29">
        <f t="shared" si="30"/>
        <v>0</v>
      </c>
      <c r="AP37" s="29">
        <v>0</v>
      </c>
      <c r="AR37" s="29">
        <v>0</v>
      </c>
      <c r="AS37" s="29">
        <v>0</v>
      </c>
      <c r="AT37" s="29">
        <v>0</v>
      </c>
      <c r="AU37" s="29">
        <v>0</v>
      </c>
      <c r="AV37" s="29">
        <v>0</v>
      </c>
      <c r="AW37" s="29">
        <v>0</v>
      </c>
      <c r="AX37" s="29">
        <f t="shared" ref="AX37:AY44" si="31">SUM(AV37,AT37)</f>
        <v>0</v>
      </c>
      <c r="AY37" s="29">
        <f t="shared" si="31"/>
        <v>0</v>
      </c>
      <c r="AZ37" s="29">
        <v>0</v>
      </c>
      <c r="BD37" s="29">
        <v>0</v>
      </c>
      <c r="BE37" s="29">
        <v>0</v>
      </c>
      <c r="BF37" s="29">
        <v>0</v>
      </c>
      <c r="BG37" s="29">
        <v>0</v>
      </c>
      <c r="BH37" s="29">
        <f t="shared" ref="BH37:BI44" si="32">SUM(BD37,BF37)</f>
        <v>0</v>
      </c>
      <c r="BI37" s="29">
        <f t="shared" si="32"/>
        <v>0</v>
      </c>
      <c r="BJ37" s="29">
        <v>0</v>
      </c>
      <c r="BN37" s="29">
        <v>0</v>
      </c>
      <c r="BQ37" s="29">
        <v>0</v>
      </c>
      <c r="BT37" s="29">
        <v>0</v>
      </c>
      <c r="BW37" s="29">
        <v>0</v>
      </c>
      <c r="BZ37" s="29">
        <v>0</v>
      </c>
      <c r="CC37" s="29">
        <v>0</v>
      </c>
      <c r="CF37" s="29">
        <v>0</v>
      </c>
      <c r="CL37" s="29">
        <v>0</v>
      </c>
      <c r="CM37" s="29">
        <v>0</v>
      </c>
      <c r="CN37" s="29">
        <v>0</v>
      </c>
      <c r="CO37" s="29">
        <v>0</v>
      </c>
      <c r="CP37" s="29">
        <f t="shared" ref="CP37:CQ44" si="33">SUM(CL37,CN37)</f>
        <v>0</v>
      </c>
      <c r="CQ37" s="29">
        <f t="shared" si="33"/>
        <v>0</v>
      </c>
      <c r="CR37" s="29">
        <v>0</v>
      </c>
      <c r="CV37" s="29">
        <v>0</v>
      </c>
      <c r="CW37" s="29">
        <v>0</v>
      </c>
      <c r="CX37" s="29">
        <v>0</v>
      </c>
      <c r="CY37" s="29">
        <v>0</v>
      </c>
      <c r="CZ37" s="29">
        <f t="shared" ref="CZ37:DA44" si="34">SUM(CV37,CX37)</f>
        <v>0</v>
      </c>
      <c r="DA37" s="29">
        <f t="shared" si="34"/>
        <v>0</v>
      </c>
      <c r="DB37" s="29">
        <v>0</v>
      </c>
      <c r="DC37" s="29">
        <v>0</v>
      </c>
      <c r="DF37" s="29">
        <v>0</v>
      </c>
      <c r="DG37" s="29">
        <v>0</v>
      </c>
      <c r="DH37" s="29">
        <v>0</v>
      </c>
      <c r="DK37" s="29">
        <v>0</v>
      </c>
      <c r="DL37" s="29">
        <v>0</v>
      </c>
      <c r="DM37" s="29">
        <v>0</v>
      </c>
      <c r="DN37" s="29">
        <v>0</v>
      </c>
      <c r="DO37" s="29">
        <f t="shared" ref="DO37:DP44" si="35">SUM(DK37,DM37)</f>
        <v>0</v>
      </c>
      <c r="DP37" s="29">
        <f t="shared" si="35"/>
        <v>0</v>
      </c>
      <c r="DQ37" s="29">
        <v>0</v>
      </c>
      <c r="DR37" s="29">
        <v>0</v>
      </c>
      <c r="DU37" s="29">
        <v>0</v>
      </c>
      <c r="DV37" s="29">
        <v>0</v>
      </c>
      <c r="DW37" s="29">
        <v>0</v>
      </c>
      <c r="DX37" s="29">
        <v>0</v>
      </c>
      <c r="DY37" s="29">
        <f t="shared" ref="DY37:DZ44" si="36">SUM(DU37,DW37)</f>
        <v>0</v>
      </c>
      <c r="DZ37" s="29">
        <f t="shared" si="36"/>
        <v>0</v>
      </c>
      <c r="EA37" s="29">
        <v>1</v>
      </c>
      <c r="EB37" s="29" t="s">
        <v>205</v>
      </c>
      <c r="EC37" s="29">
        <v>1</v>
      </c>
      <c r="ED37" s="29" t="s">
        <v>389</v>
      </c>
      <c r="EE37" s="29">
        <v>0</v>
      </c>
      <c r="EF37" s="29">
        <v>0</v>
      </c>
      <c r="EH37" s="29">
        <v>0</v>
      </c>
      <c r="EI37" s="29">
        <f t="shared" ref="EI37:EJ44" si="37">SUM(EK37,EM37,EO37)</f>
        <v>0</v>
      </c>
      <c r="EJ37" s="29">
        <f t="shared" si="37"/>
        <v>0</v>
      </c>
      <c r="EK37" s="29">
        <v>0</v>
      </c>
      <c r="EL37" s="29">
        <v>0</v>
      </c>
      <c r="EM37" s="29">
        <v>0</v>
      </c>
      <c r="EN37" s="29">
        <v>0</v>
      </c>
      <c r="EO37" s="29">
        <v>0</v>
      </c>
      <c r="EP37" s="29">
        <v>0</v>
      </c>
      <c r="EQ37" s="29">
        <v>0</v>
      </c>
      <c r="ES37" s="29">
        <v>0</v>
      </c>
      <c r="ET37" s="29">
        <v>0</v>
      </c>
      <c r="EU37" s="29">
        <v>0</v>
      </c>
      <c r="EV37" s="29">
        <v>0</v>
      </c>
      <c r="EW37" s="29">
        <v>0</v>
      </c>
      <c r="EX37" s="29">
        <v>0</v>
      </c>
      <c r="EY37" s="29">
        <v>0</v>
      </c>
      <c r="EZ37" s="29">
        <v>0</v>
      </c>
      <c r="FA37" s="29">
        <v>0</v>
      </c>
      <c r="FB37" s="29">
        <f t="shared" si="28"/>
        <v>0</v>
      </c>
      <c r="FC37" s="29">
        <v>0</v>
      </c>
      <c r="FD37" s="29">
        <v>0</v>
      </c>
      <c r="FE37" s="29">
        <v>0</v>
      </c>
      <c r="FF37" s="29">
        <v>0</v>
      </c>
      <c r="FG37" s="29">
        <v>0</v>
      </c>
      <c r="FH37" s="29">
        <v>0</v>
      </c>
      <c r="FK37" s="29">
        <v>0</v>
      </c>
      <c r="FN37" s="29">
        <v>0</v>
      </c>
      <c r="FO37" s="29">
        <v>0</v>
      </c>
      <c r="FQ37" s="29">
        <v>0</v>
      </c>
      <c r="FT37" s="29">
        <v>0</v>
      </c>
      <c r="FU37" s="29">
        <v>0</v>
      </c>
      <c r="FV37" s="29">
        <v>0</v>
      </c>
      <c r="FW37" s="29">
        <v>0</v>
      </c>
      <c r="FX37" s="29">
        <v>0</v>
      </c>
      <c r="FY37" s="29">
        <v>0</v>
      </c>
      <c r="FZ37" s="29">
        <v>0</v>
      </c>
      <c r="GA37" s="26"/>
      <c r="GB37" s="26"/>
      <c r="GC37" s="26" t="s">
        <v>260</v>
      </c>
      <c r="GD37" s="23" t="s">
        <v>390</v>
      </c>
      <c r="GE37" s="26"/>
      <c r="GF37" s="41"/>
      <c r="GG37" s="35"/>
    </row>
    <row r="38" spans="1:189" ht="15.6" x14ac:dyDescent="0.3">
      <c r="A38" s="25" t="s">
        <v>320</v>
      </c>
      <c r="B38" s="25">
        <v>62296</v>
      </c>
      <c r="C38" s="25"/>
      <c r="D38" s="25"/>
      <c r="E38" s="25"/>
      <c r="F38" s="25"/>
      <c r="G38" s="25"/>
      <c r="H38" s="25"/>
      <c r="I38" s="25"/>
      <c r="J38" s="25">
        <v>4</v>
      </c>
      <c r="K38" s="25" t="s">
        <v>391</v>
      </c>
      <c r="L38" s="25" t="s">
        <v>392</v>
      </c>
      <c r="M38" s="25" t="s">
        <v>393</v>
      </c>
      <c r="N38" s="25" t="s">
        <v>203</v>
      </c>
      <c r="O38" s="36">
        <v>2.4999999999999998E-2</v>
      </c>
      <c r="P38" s="37">
        <v>46234</v>
      </c>
      <c r="Q38" s="29">
        <f t="shared" si="29"/>
        <v>0</v>
      </c>
      <c r="R38" s="29">
        <f t="shared" si="29"/>
        <v>0</v>
      </c>
      <c r="S38" s="29">
        <v>0</v>
      </c>
      <c r="T38" s="29">
        <v>0</v>
      </c>
      <c r="U38" s="29">
        <v>0</v>
      </c>
      <c r="V38" s="29">
        <v>0</v>
      </c>
      <c r="W38" s="29">
        <v>0</v>
      </c>
      <c r="X38" s="29">
        <v>0</v>
      </c>
      <c r="Y38" s="29">
        <v>0</v>
      </c>
      <c r="Z38" s="29">
        <v>0</v>
      </c>
      <c r="AA38" s="29">
        <v>0</v>
      </c>
      <c r="AB38" s="29">
        <v>0</v>
      </c>
      <c r="AC38" s="29">
        <v>0</v>
      </c>
      <c r="AD38" s="29">
        <v>0</v>
      </c>
      <c r="AF38" s="29">
        <v>0</v>
      </c>
      <c r="AH38" s="29">
        <v>0</v>
      </c>
      <c r="AI38" s="29">
        <v>0</v>
      </c>
      <c r="AJ38" s="29">
        <v>0</v>
      </c>
      <c r="AK38" s="29">
        <v>0</v>
      </c>
      <c r="AL38" s="29">
        <v>0</v>
      </c>
      <c r="AM38" s="29">
        <v>0</v>
      </c>
      <c r="AN38" s="29">
        <f t="shared" si="30"/>
        <v>0</v>
      </c>
      <c r="AO38" s="29">
        <f t="shared" si="30"/>
        <v>0</v>
      </c>
      <c r="AP38" s="29">
        <v>0</v>
      </c>
      <c r="AR38" s="29">
        <v>0</v>
      </c>
      <c r="AS38" s="29">
        <v>0</v>
      </c>
      <c r="AT38" s="29">
        <v>0</v>
      </c>
      <c r="AU38" s="29">
        <v>0</v>
      </c>
      <c r="AV38" s="29">
        <v>0</v>
      </c>
      <c r="AW38" s="29">
        <v>0</v>
      </c>
      <c r="AX38" s="29">
        <f t="shared" si="31"/>
        <v>0</v>
      </c>
      <c r="AY38" s="29">
        <f t="shared" si="31"/>
        <v>0</v>
      </c>
      <c r="AZ38" s="29">
        <v>0</v>
      </c>
      <c r="BD38" s="29">
        <v>0</v>
      </c>
      <c r="BE38" s="29">
        <v>0</v>
      </c>
      <c r="BF38" s="29">
        <v>0</v>
      </c>
      <c r="BG38" s="29">
        <v>0</v>
      </c>
      <c r="BH38" s="29">
        <f t="shared" si="32"/>
        <v>0</v>
      </c>
      <c r="BI38" s="29">
        <f t="shared" si="32"/>
        <v>0</v>
      </c>
      <c r="BJ38" s="29">
        <v>0</v>
      </c>
      <c r="BN38" s="29">
        <v>0</v>
      </c>
      <c r="BQ38" s="29">
        <v>0</v>
      </c>
      <c r="BT38" s="29">
        <v>0</v>
      </c>
      <c r="BW38" s="29">
        <v>0</v>
      </c>
      <c r="BZ38" s="29">
        <v>0</v>
      </c>
      <c r="CC38" s="29">
        <v>0</v>
      </c>
      <c r="CF38" s="29">
        <v>0</v>
      </c>
      <c r="CL38" s="29">
        <v>0</v>
      </c>
      <c r="CM38" s="29">
        <v>0</v>
      </c>
      <c r="CN38" s="29">
        <v>0</v>
      </c>
      <c r="CO38" s="29">
        <v>0</v>
      </c>
      <c r="CP38" s="29">
        <f t="shared" si="33"/>
        <v>0</v>
      </c>
      <c r="CQ38" s="29">
        <f t="shared" si="33"/>
        <v>0</v>
      </c>
      <c r="CR38" s="29">
        <v>0</v>
      </c>
      <c r="CV38" s="29">
        <v>0</v>
      </c>
      <c r="CW38" s="29">
        <v>0</v>
      </c>
      <c r="CX38" s="29">
        <v>0</v>
      </c>
      <c r="CY38" s="29">
        <v>0</v>
      </c>
      <c r="CZ38" s="29">
        <f t="shared" si="34"/>
        <v>0</v>
      </c>
      <c r="DA38" s="29">
        <f t="shared" si="34"/>
        <v>0</v>
      </c>
      <c r="DB38" s="29">
        <v>0</v>
      </c>
      <c r="DC38" s="29">
        <v>0</v>
      </c>
      <c r="DF38" s="29">
        <v>0</v>
      </c>
      <c r="DG38" s="29">
        <v>0</v>
      </c>
      <c r="DH38" s="29">
        <v>0</v>
      </c>
      <c r="DK38" s="29">
        <v>0</v>
      </c>
      <c r="DL38" s="29">
        <v>0</v>
      </c>
      <c r="DM38" s="29">
        <v>0</v>
      </c>
      <c r="DN38" s="29">
        <v>0</v>
      </c>
      <c r="DO38" s="29">
        <f t="shared" si="35"/>
        <v>0</v>
      </c>
      <c r="DP38" s="29">
        <f t="shared" si="35"/>
        <v>0</v>
      </c>
      <c r="DQ38" s="29">
        <v>0</v>
      </c>
      <c r="DR38" s="29">
        <v>0</v>
      </c>
      <c r="DU38" s="29">
        <v>0</v>
      </c>
      <c r="DV38" s="29">
        <v>0</v>
      </c>
      <c r="DW38" s="29">
        <v>0</v>
      </c>
      <c r="DX38" s="29">
        <v>0</v>
      </c>
      <c r="DY38" s="29">
        <f t="shared" si="36"/>
        <v>0</v>
      </c>
      <c r="DZ38" s="29">
        <f t="shared" si="36"/>
        <v>0</v>
      </c>
      <c r="EA38" s="29">
        <v>0</v>
      </c>
      <c r="EC38" s="29">
        <v>0</v>
      </c>
      <c r="EE38" s="29">
        <v>0</v>
      </c>
      <c r="EF38" s="29">
        <v>0</v>
      </c>
      <c r="EH38" s="29">
        <v>0</v>
      </c>
      <c r="EI38" s="29">
        <f t="shared" si="37"/>
        <v>0</v>
      </c>
      <c r="EJ38" s="29">
        <f t="shared" si="37"/>
        <v>0</v>
      </c>
      <c r="EK38" s="29">
        <v>0</v>
      </c>
      <c r="EL38" s="29">
        <v>0</v>
      </c>
      <c r="EM38" s="29">
        <v>0</v>
      </c>
      <c r="EN38" s="29">
        <v>0</v>
      </c>
      <c r="EO38" s="29">
        <v>0</v>
      </c>
      <c r="EP38" s="29">
        <v>0</v>
      </c>
      <c r="EQ38" s="29">
        <v>0</v>
      </c>
      <c r="ES38" s="29">
        <v>0</v>
      </c>
      <c r="ET38" s="29">
        <v>0</v>
      </c>
      <c r="EU38" s="29">
        <v>0</v>
      </c>
      <c r="EV38" s="29">
        <v>0</v>
      </c>
      <c r="EW38" s="29">
        <v>0</v>
      </c>
      <c r="EX38" s="29">
        <v>0</v>
      </c>
      <c r="EY38" s="29">
        <v>0</v>
      </c>
      <c r="EZ38" s="29">
        <v>0</v>
      </c>
      <c r="FA38" s="29">
        <v>0</v>
      </c>
      <c r="FB38" s="29">
        <f t="shared" si="28"/>
        <v>0</v>
      </c>
      <c r="FC38" s="29">
        <v>0</v>
      </c>
      <c r="FD38" s="29">
        <v>0</v>
      </c>
      <c r="FE38" s="29">
        <v>0</v>
      </c>
      <c r="FF38" s="29">
        <v>0</v>
      </c>
      <c r="FG38" s="29">
        <v>0</v>
      </c>
      <c r="FH38" s="29">
        <v>0</v>
      </c>
      <c r="FK38" s="29">
        <v>0</v>
      </c>
      <c r="FN38" s="29">
        <v>0</v>
      </c>
      <c r="FO38" s="29">
        <v>0</v>
      </c>
      <c r="FQ38" s="29">
        <v>0</v>
      </c>
      <c r="FT38" s="29">
        <v>0</v>
      </c>
      <c r="FU38" s="29">
        <v>0</v>
      </c>
      <c r="FV38" s="29">
        <v>0</v>
      </c>
      <c r="FW38" s="29">
        <v>0</v>
      </c>
      <c r="FX38" s="29">
        <v>0</v>
      </c>
      <c r="FY38" s="29">
        <v>0</v>
      </c>
      <c r="FZ38" s="29">
        <v>0</v>
      </c>
      <c r="GA38" s="25"/>
      <c r="GB38" s="25"/>
      <c r="GC38" s="25" t="s">
        <v>210</v>
      </c>
      <c r="GD38" s="38" t="s">
        <v>394</v>
      </c>
      <c r="GE38" s="39"/>
      <c r="GF38" s="39"/>
      <c r="GG38" s="35"/>
    </row>
    <row r="39" spans="1:189" ht="15.6" x14ac:dyDescent="0.3">
      <c r="A39" s="25" t="s">
        <v>292</v>
      </c>
      <c r="B39" s="25">
        <v>71115</v>
      </c>
      <c r="C39" s="25"/>
      <c r="D39" s="25"/>
      <c r="E39" s="25"/>
      <c r="F39" s="25"/>
      <c r="G39" s="25"/>
      <c r="H39" s="25"/>
      <c r="I39" s="25"/>
      <c r="J39" s="25">
        <v>3</v>
      </c>
      <c r="K39" s="25" t="s">
        <v>395</v>
      </c>
      <c r="L39" s="25" t="s">
        <v>396</v>
      </c>
      <c r="M39" s="25" t="s">
        <v>397</v>
      </c>
      <c r="N39" s="25" t="s">
        <v>203</v>
      </c>
      <c r="O39" s="36">
        <v>0.9555555555555556</v>
      </c>
      <c r="P39" s="37">
        <v>46192</v>
      </c>
      <c r="Q39" s="29">
        <f t="shared" si="29"/>
        <v>0</v>
      </c>
      <c r="R39" s="29">
        <f t="shared" si="29"/>
        <v>0</v>
      </c>
      <c r="S39" s="29">
        <v>0</v>
      </c>
      <c r="T39" s="29">
        <v>0</v>
      </c>
      <c r="U39" s="29">
        <v>0</v>
      </c>
      <c r="V39" s="29">
        <v>0</v>
      </c>
      <c r="W39" s="29">
        <v>0</v>
      </c>
      <c r="X39" s="29">
        <v>0</v>
      </c>
      <c r="Y39" s="29">
        <v>0</v>
      </c>
      <c r="Z39" s="29">
        <v>0</v>
      </c>
      <c r="AA39" s="29">
        <v>0</v>
      </c>
      <c r="AB39" s="29">
        <v>0</v>
      </c>
      <c r="AC39" s="29">
        <v>0</v>
      </c>
      <c r="AD39" s="29">
        <v>0</v>
      </c>
      <c r="AF39" s="29">
        <v>0</v>
      </c>
      <c r="AH39" s="29">
        <v>0</v>
      </c>
      <c r="AI39" s="29">
        <v>0</v>
      </c>
      <c r="AJ39" s="29">
        <v>0</v>
      </c>
      <c r="AK39" s="29">
        <v>0</v>
      </c>
      <c r="AL39" s="29">
        <v>0</v>
      </c>
      <c r="AM39" s="29">
        <v>0</v>
      </c>
      <c r="AN39" s="29">
        <f t="shared" si="30"/>
        <v>0</v>
      </c>
      <c r="AO39" s="29">
        <f t="shared" si="30"/>
        <v>0</v>
      </c>
      <c r="AP39" s="29">
        <v>0</v>
      </c>
      <c r="AR39" s="29">
        <v>0</v>
      </c>
      <c r="AS39" s="29">
        <v>0</v>
      </c>
      <c r="AT39" s="29">
        <v>0</v>
      </c>
      <c r="AU39" s="29">
        <v>0</v>
      </c>
      <c r="AV39" s="29">
        <v>0</v>
      </c>
      <c r="AW39" s="29">
        <v>0</v>
      </c>
      <c r="AX39" s="29">
        <f t="shared" si="31"/>
        <v>0</v>
      </c>
      <c r="AY39" s="29">
        <f t="shared" si="31"/>
        <v>0</v>
      </c>
      <c r="AZ39" s="29">
        <v>0</v>
      </c>
      <c r="BD39" s="29">
        <v>0</v>
      </c>
      <c r="BE39" s="29">
        <v>0</v>
      </c>
      <c r="BF39" s="29">
        <v>0</v>
      </c>
      <c r="BG39" s="29">
        <v>0</v>
      </c>
      <c r="BH39" s="29">
        <f t="shared" si="32"/>
        <v>0</v>
      </c>
      <c r="BI39" s="29">
        <f t="shared" si="32"/>
        <v>0</v>
      </c>
      <c r="BJ39" s="29">
        <v>0</v>
      </c>
      <c r="BN39" s="29">
        <v>0</v>
      </c>
      <c r="BQ39" s="29">
        <v>0</v>
      </c>
      <c r="BT39" s="29">
        <v>0</v>
      </c>
      <c r="BW39" s="29">
        <v>0</v>
      </c>
      <c r="BZ39" s="29">
        <v>0</v>
      </c>
      <c r="CC39" s="29">
        <v>0</v>
      </c>
      <c r="CF39" s="29">
        <v>0</v>
      </c>
      <c r="CL39" s="29">
        <v>0</v>
      </c>
      <c r="CM39" s="29">
        <v>0</v>
      </c>
      <c r="CN39" s="29">
        <v>0</v>
      </c>
      <c r="CO39" s="29">
        <v>0</v>
      </c>
      <c r="CP39" s="29">
        <f t="shared" si="33"/>
        <v>0</v>
      </c>
      <c r="CQ39" s="29">
        <f t="shared" si="33"/>
        <v>0</v>
      </c>
      <c r="CR39" s="29">
        <v>0</v>
      </c>
      <c r="CV39" s="29">
        <v>0</v>
      </c>
      <c r="CW39" s="29">
        <v>0</v>
      </c>
      <c r="CX39" s="29">
        <v>0</v>
      </c>
      <c r="CY39" s="29">
        <v>0</v>
      </c>
      <c r="CZ39" s="29">
        <f t="shared" si="34"/>
        <v>0</v>
      </c>
      <c r="DA39" s="29">
        <f t="shared" si="34"/>
        <v>0</v>
      </c>
      <c r="DB39" s="29">
        <v>0</v>
      </c>
      <c r="DC39" s="29">
        <v>0</v>
      </c>
      <c r="DF39" s="29">
        <v>0</v>
      </c>
      <c r="DG39" s="29">
        <v>0</v>
      </c>
      <c r="DH39" s="29">
        <v>0</v>
      </c>
      <c r="DK39" s="29">
        <v>0</v>
      </c>
      <c r="DL39" s="29">
        <v>0</v>
      </c>
      <c r="DM39" s="29">
        <v>0</v>
      </c>
      <c r="DN39" s="29">
        <v>0</v>
      </c>
      <c r="DO39" s="29">
        <f t="shared" si="35"/>
        <v>0</v>
      </c>
      <c r="DP39" s="29">
        <f t="shared" si="35"/>
        <v>0</v>
      </c>
      <c r="DQ39" s="29">
        <v>0</v>
      </c>
      <c r="DR39" s="29">
        <v>0</v>
      </c>
      <c r="DU39" s="29">
        <v>0</v>
      </c>
      <c r="DV39" s="29">
        <v>0</v>
      </c>
      <c r="DW39" s="29">
        <v>0</v>
      </c>
      <c r="DX39" s="29">
        <v>0</v>
      </c>
      <c r="DY39" s="29">
        <f t="shared" si="36"/>
        <v>0</v>
      </c>
      <c r="DZ39" s="29">
        <f t="shared" si="36"/>
        <v>0</v>
      </c>
      <c r="EA39" s="29">
        <v>0</v>
      </c>
      <c r="EC39" s="29">
        <v>0</v>
      </c>
      <c r="EE39" s="29">
        <v>0</v>
      </c>
      <c r="EF39" s="29">
        <v>0</v>
      </c>
      <c r="EH39" s="29">
        <v>0</v>
      </c>
      <c r="EI39" s="29">
        <f t="shared" si="37"/>
        <v>0</v>
      </c>
      <c r="EJ39" s="29">
        <f t="shared" si="37"/>
        <v>0</v>
      </c>
      <c r="EK39" s="29">
        <v>0</v>
      </c>
      <c r="EL39" s="29">
        <v>0</v>
      </c>
      <c r="EM39" s="29">
        <v>0</v>
      </c>
      <c r="EN39" s="29">
        <v>0</v>
      </c>
      <c r="EO39" s="29">
        <v>0</v>
      </c>
      <c r="EP39" s="29">
        <v>0</v>
      </c>
      <c r="EQ39" s="29">
        <v>0</v>
      </c>
      <c r="ES39" s="29">
        <v>0</v>
      </c>
      <c r="ET39" s="29">
        <v>0</v>
      </c>
      <c r="EU39" s="29">
        <v>0</v>
      </c>
      <c r="EV39" s="29">
        <v>0</v>
      </c>
      <c r="EW39" s="29">
        <v>0</v>
      </c>
      <c r="EX39" s="29">
        <v>0</v>
      </c>
      <c r="EY39" s="29">
        <v>0</v>
      </c>
      <c r="EZ39" s="29">
        <v>0</v>
      </c>
      <c r="FA39" s="29">
        <v>0</v>
      </c>
      <c r="FB39" s="29">
        <f t="shared" si="28"/>
        <v>0</v>
      </c>
      <c r="FC39" s="29">
        <v>0</v>
      </c>
      <c r="FD39" s="29">
        <v>0</v>
      </c>
      <c r="FE39" s="29">
        <v>0</v>
      </c>
      <c r="FF39" s="29">
        <v>0</v>
      </c>
      <c r="FG39" s="29">
        <v>0</v>
      </c>
      <c r="FH39" s="29">
        <v>0</v>
      </c>
      <c r="FK39" s="29">
        <v>0</v>
      </c>
      <c r="FN39" s="29">
        <v>0</v>
      </c>
      <c r="FO39" s="29">
        <v>0</v>
      </c>
      <c r="FQ39" s="29">
        <v>0</v>
      </c>
      <c r="FT39" s="29">
        <v>0</v>
      </c>
      <c r="FU39" s="29">
        <v>0</v>
      </c>
      <c r="FV39" s="29">
        <v>0</v>
      </c>
      <c r="FW39" s="29">
        <v>0</v>
      </c>
      <c r="FX39" s="29">
        <v>0</v>
      </c>
      <c r="FY39" s="29">
        <v>0</v>
      </c>
      <c r="FZ39" s="29">
        <v>0</v>
      </c>
      <c r="GA39" s="25"/>
      <c r="GB39" s="25"/>
      <c r="GC39" s="25" t="s">
        <v>260</v>
      </c>
      <c r="GD39" s="38" t="s">
        <v>398</v>
      </c>
      <c r="GE39" s="38"/>
      <c r="GF39" s="39"/>
      <c r="GG39" s="39"/>
    </row>
    <row r="40" spans="1:189" ht="15.6" x14ac:dyDescent="0.3">
      <c r="A40" s="52" t="s">
        <v>212</v>
      </c>
      <c r="B40" s="52">
        <v>72231</v>
      </c>
      <c r="J40" s="52">
        <v>3</v>
      </c>
      <c r="K40" s="26" t="s">
        <v>399</v>
      </c>
      <c r="L40" s="26" t="s">
        <v>400</v>
      </c>
      <c r="M40" s="34" t="s">
        <v>401</v>
      </c>
      <c r="N40" s="34" t="s">
        <v>402</v>
      </c>
      <c r="O40" s="53">
        <v>0.7090277777777777</v>
      </c>
      <c r="P40" s="54">
        <v>46189</v>
      </c>
      <c r="Q40" s="29">
        <f t="shared" si="29"/>
        <v>0</v>
      </c>
      <c r="R40" s="29">
        <f t="shared" si="29"/>
        <v>4</v>
      </c>
      <c r="S40" s="29">
        <v>0</v>
      </c>
      <c r="T40" s="29">
        <v>4</v>
      </c>
      <c r="U40" s="29">
        <v>0</v>
      </c>
      <c r="V40" s="29">
        <v>0</v>
      </c>
      <c r="W40" s="29">
        <v>0</v>
      </c>
      <c r="X40" s="29">
        <v>0</v>
      </c>
      <c r="Y40" s="29">
        <v>0</v>
      </c>
      <c r="Z40" s="29">
        <v>0</v>
      </c>
      <c r="AA40" s="29">
        <v>0</v>
      </c>
      <c r="AB40" s="29">
        <v>0</v>
      </c>
      <c r="AC40" s="29">
        <v>0</v>
      </c>
      <c r="AD40" s="29">
        <v>0</v>
      </c>
      <c r="AF40" s="29">
        <v>0</v>
      </c>
      <c r="AH40" s="29">
        <v>0</v>
      </c>
      <c r="AI40" s="29">
        <v>0</v>
      </c>
      <c r="AJ40" s="29">
        <v>0</v>
      </c>
      <c r="AK40" s="29">
        <v>0</v>
      </c>
      <c r="AL40" s="29">
        <v>0</v>
      </c>
      <c r="AM40" s="29">
        <v>0</v>
      </c>
      <c r="AN40" s="29">
        <f t="shared" si="30"/>
        <v>0</v>
      </c>
      <c r="AO40" s="29">
        <f t="shared" si="30"/>
        <v>0</v>
      </c>
      <c r="AP40" s="29">
        <v>0</v>
      </c>
      <c r="AR40" s="29">
        <v>0</v>
      </c>
      <c r="AS40" s="29">
        <v>0</v>
      </c>
      <c r="AT40" s="29">
        <v>0</v>
      </c>
      <c r="AU40" s="29">
        <v>0</v>
      </c>
      <c r="AV40" s="29">
        <v>0</v>
      </c>
      <c r="AW40" s="29">
        <v>0</v>
      </c>
      <c r="AX40" s="29">
        <f t="shared" si="31"/>
        <v>0</v>
      </c>
      <c r="AY40" s="29">
        <f t="shared" si="31"/>
        <v>0</v>
      </c>
      <c r="AZ40" s="29">
        <v>0</v>
      </c>
      <c r="BD40" s="29">
        <v>0</v>
      </c>
      <c r="BE40" s="29">
        <v>0</v>
      </c>
      <c r="BF40" s="29">
        <v>0</v>
      </c>
      <c r="BG40" s="29">
        <v>0</v>
      </c>
      <c r="BH40" s="29">
        <f t="shared" si="32"/>
        <v>0</v>
      </c>
      <c r="BI40" s="29">
        <f t="shared" si="32"/>
        <v>0</v>
      </c>
      <c r="BJ40" s="29">
        <v>0</v>
      </c>
      <c r="BN40" s="29">
        <v>0</v>
      </c>
      <c r="BQ40" s="29">
        <v>0</v>
      </c>
      <c r="BT40" s="29">
        <v>0</v>
      </c>
      <c r="BW40" s="29">
        <v>0</v>
      </c>
      <c r="BZ40" s="29">
        <v>0</v>
      </c>
      <c r="CC40" s="29">
        <v>0</v>
      </c>
      <c r="CF40" s="29">
        <v>0</v>
      </c>
      <c r="CL40" s="29">
        <v>0</v>
      </c>
      <c r="CM40" s="29">
        <v>0</v>
      </c>
      <c r="CN40" s="29">
        <v>0</v>
      </c>
      <c r="CO40" s="29">
        <v>0</v>
      </c>
      <c r="CP40" s="29">
        <f t="shared" si="33"/>
        <v>0</v>
      </c>
      <c r="CQ40" s="29">
        <f t="shared" si="33"/>
        <v>0</v>
      </c>
      <c r="CR40" s="29">
        <v>0</v>
      </c>
      <c r="CV40" s="29">
        <v>0</v>
      </c>
      <c r="CW40" s="29">
        <v>0</v>
      </c>
      <c r="CX40" s="29">
        <v>0</v>
      </c>
      <c r="CY40" s="29">
        <v>0</v>
      </c>
      <c r="CZ40" s="29">
        <f t="shared" si="34"/>
        <v>0</v>
      </c>
      <c r="DA40" s="29">
        <f t="shared" si="34"/>
        <v>0</v>
      </c>
      <c r="DB40" s="29">
        <v>0</v>
      </c>
      <c r="DC40" s="29">
        <v>0</v>
      </c>
      <c r="DF40" s="29">
        <v>0</v>
      </c>
      <c r="DG40" s="29">
        <v>0</v>
      </c>
      <c r="DH40" s="29">
        <v>0</v>
      </c>
      <c r="DK40" s="29">
        <v>0</v>
      </c>
      <c r="DL40" s="29">
        <v>0</v>
      </c>
      <c r="DM40" s="29">
        <v>0</v>
      </c>
      <c r="DN40" s="29">
        <v>0</v>
      </c>
      <c r="DO40" s="29">
        <f t="shared" si="35"/>
        <v>0</v>
      </c>
      <c r="DP40" s="29">
        <f t="shared" si="35"/>
        <v>0</v>
      </c>
      <c r="DQ40" s="29">
        <v>0</v>
      </c>
      <c r="DR40" s="29">
        <v>0</v>
      </c>
      <c r="DU40" s="29">
        <v>0</v>
      </c>
      <c r="DV40" s="29">
        <v>0</v>
      </c>
      <c r="DW40" s="29">
        <v>0</v>
      </c>
      <c r="DX40" s="29">
        <v>0</v>
      </c>
      <c r="DY40" s="29">
        <f t="shared" si="36"/>
        <v>0</v>
      </c>
      <c r="DZ40" s="29">
        <f t="shared" si="36"/>
        <v>0</v>
      </c>
      <c r="EA40" s="29">
        <v>0</v>
      </c>
      <c r="EC40" s="29">
        <v>0</v>
      </c>
      <c r="EE40" s="29">
        <v>0</v>
      </c>
      <c r="EF40" s="29">
        <v>0</v>
      </c>
      <c r="EH40" s="29">
        <v>0</v>
      </c>
      <c r="EI40" s="29">
        <f t="shared" si="37"/>
        <v>0</v>
      </c>
      <c r="EJ40" s="29">
        <f t="shared" si="37"/>
        <v>0</v>
      </c>
      <c r="EK40" s="29">
        <v>0</v>
      </c>
      <c r="EL40" s="29">
        <v>0</v>
      </c>
      <c r="EM40" s="29">
        <v>0</v>
      </c>
      <c r="EN40" s="29">
        <v>0</v>
      </c>
      <c r="EO40" s="29">
        <v>0</v>
      </c>
      <c r="EP40" s="29">
        <v>0</v>
      </c>
      <c r="EQ40" s="29">
        <v>0</v>
      </c>
      <c r="ES40" s="29">
        <v>0</v>
      </c>
      <c r="ET40" s="29">
        <v>0</v>
      </c>
      <c r="EU40" s="29">
        <v>0</v>
      </c>
      <c r="EV40" s="29">
        <v>0</v>
      </c>
      <c r="EW40" s="29">
        <v>0</v>
      </c>
      <c r="EX40" s="29">
        <v>0</v>
      </c>
      <c r="EY40" s="29">
        <v>0</v>
      </c>
      <c r="EZ40" s="29">
        <v>0</v>
      </c>
      <c r="FA40" s="29">
        <v>0</v>
      </c>
      <c r="FB40" s="29">
        <f t="shared" si="28"/>
        <v>0</v>
      </c>
      <c r="FC40" s="29">
        <v>0</v>
      </c>
      <c r="FD40" s="29">
        <v>0</v>
      </c>
      <c r="FE40" s="29">
        <v>0</v>
      </c>
      <c r="FF40" s="29">
        <v>0</v>
      </c>
      <c r="FG40" s="29">
        <v>0</v>
      </c>
      <c r="FH40" s="29">
        <v>0</v>
      </c>
      <c r="FK40" s="29">
        <v>0</v>
      </c>
      <c r="FN40" s="29">
        <v>0</v>
      </c>
      <c r="FO40" s="29">
        <v>0</v>
      </c>
      <c r="FQ40" s="29">
        <v>0</v>
      </c>
      <c r="FT40" s="29">
        <v>0</v>
      </c>
      <c r="FU40" s="29">
        <v>0</v>
      </c>
      <c r="FV40" s="29">
        <v>0</v>
      </c>
      <c r="FW40" s="29">
        <v>0</v>
      </c>
      <c r="FX40" s="29">
        <v>0</v>
      </c>
      <c r="FY40" s="29">
        <v>0</v>
      </c>
      <c r="FZ40" s="29">
        <v>0</v>
      </c>
      <c r="GC40" s="52" t="s">
        <v>260</v>
      </c>
      <c r="GD40" s="29" t="s">
        <v>403</v>
      </c>
      <c r="GF40" s="35"/>
      <c r="GG40" s="35"/>
    </row>
    <row r="41" spans="1:189" ht="15.6" x14ac:dyDescent="0.3">
      <c r="A41" s="52" t="s">
        <v>404</v>
      </c>
      <c r="B41" s="52">
        <v>63319</v>
      </c>
      <c r="C41" s="52"/>
      <c r="D41" s="52"/>
      <c r="E41" s="52"/>
      <c r="F41" s="52"/>
      <c r="G41" s="52"/>
      <c r="H41" s="52"/>
      <c r="I41" s="52"/>
      <c r="J41" s="52">
        <v>3</v>
      </c>
      <c r="K41" s="26" t="s">
        <v>405</v>
      </c>
      <c r="L41" s="26" t="s">
        <v>406</v>
      </c>
      <c r="M41" s="60" t="s">
        <v>407</v>
      </c>
      <c r="N41" s="34" t="s">
        <v>203</v>
      </c>
      <c r="O41" s="53">
        <v>0.64236111111111105</v>
      </c>
      <c r="P41" s="54">
        <v>46180</v>
      </c>
      <c r="Q41" s="29">
        <f t="shared" si="29"/>
        <v>0</v>
      </c>
      <c r="R41" s="29">
        <f t="shared" si="29"/>
        <v>0</v>
      </c>
      <c r="S41" s="29">
        <v>0</v>
      </c>
      <c r="T41" s="29">
        <v>0</v>
      </c>
      <c r="U41" s="29">
        <v>0</v>
      </c>
      <c r="V41" s="29">
        <v>0</v>
      </c>
      <c r="W41" s="29">
        <v>0</v>
      </c>
      <c r="X41" s="29">
        <v>0</v>
      </c>
      <c r="Y41" s="29">
        <v>0</v>
      </c>
      <c r="Z41" s="29">
        <v>0</v>
      </c>
      <c r="AA41" s="29">
        <v>0</v>
      </c>
      <c r="AB41" s="29">
        <v>0</v>
      </c>
      <c r="AC41" s="29">
        <v>0</v>
      </c>
      <c r="AD41" s="29">
        <v>0</v>
      </c>
      <c r="AF41" s="29">
        <v>0</v>
      </c>
      <c r="AH41" s="29">
        <v>0</v>
      </c>
      <c r="AI41" s="29">
        <v>0</v>
      </c>
      <c r="AJ41" s="29">
        <v>0</v>
      </c>
      <c r="AK41" s="29">
        <v>0</v>
      </c>
      <c r="AL41" s="29">
        <v>0</v>
      </c>
      <c r="AM41" s="29">
        <v>0</v>
      </c>
      <c r="AN41" s="29">
        <f t="shared" si="30"/>
        <v>0</v>
      </c>
      <c r="AO41" s="29">
        <f t="shared" si="30"/>
        <v>0</v>
      </c>
      <c r="AP41" s="29">
        <v>0</v>
      </c>
      <c r="AR41" s="29">
        <v>0</v>
      </c>
      <c r="AS41" s="29">
        <v>0</v>
      </c>
      <c r="AT41" s="29">
        <v>0</v>
      </c>
      <c r="AU41" s="29">
        <v>0</v>
      </c>
      <c r="AV41" s="29">
        <v>0</v>
      </c>
      <c r="AW41" s="29">
        <v>0</v>
      </c>
      <c r="AX41" s="29">
        <f t="shared" si="31"/>
        <v>0</v>
      </c>
      <c r="AY41" s="29">
        <f t="shared" si="31"/>
        <v>0</v>
      </c>
      <c r="AZ41" s="29">
        <v>0</v>
      </c>
      <c r="BD41" s="29">
        <v>0</v>
      </c>
      <c r="BE41" s="29">
        <v>0</v>
      </c>
      <c r="BF41" s="29">
        <v>0</v>
      </c>
      <c r="BG41" s="29">
        <v>0</v>
      </c>
      <c r="BH41" s="29">
        <f t="shared" si="32"/>
        <v>0</v>
      </c>
      <c r="BI41" s="29">
        <f t="shared" si="32"/>
        <v>0</v>
      </c>
      <c r="BJ41" s="29">
        <v>0</v>
      </c>
      <c r="BN41" s="29">
        <v>0</v>
      </c>
      <c r="BQ41" s="29">
        <v>0</v>
      </c>
      <c r="BT41" s="29">
        <v>0</v>
      </c>
      <c r="BW41" s="29">
        <v>0</v>
      </c>
      <c r="BZ41" s="29">
        <v>0</v>
      </c>
      <c r="CC41" s="29">
        <v>0</v>
      </c>
      <c r="CF41" s="29">
        <v>0</v>
      </c>
      <c r="CL41" s="29">
        <v>0</v>
      </c>
      <c r="CM41" s="29">
        <v>0</v>
      </c>
      <c r="CN41" s="29">
        <v>0</v>
      </c>
      <c r="CO41" s="29">
        <v>0</v>
      </c>
      <c r="CP41" s="29">
        <f t="shared" si="33"/>
        <v>0</v>
      </c>
      <c r="CQ41" s="29">
        <f t="shared" si="33"/>
        <v>0</v>
      </c>
      <c r="CR41" s="29">
        <v>0</v>
      </c>
      <c r="CV41" s="29">
        <v>0</v>
      </c>
      <c r="CW41" s="29">
        <v>0</v>
      </c>
      <c r="CX41" s="29">
        <v>0</v>
      </c>
      <c r="CY41" s="29">
        <v>0</v>
      </c>
      <c r="CZ41" s="29">
        <f t="shared" si="34"/>
        <v>0</v>
      </c>
      <c r="DA41" s="29">
        <f t="shared" si="34"/>
        <v>0</v>
      </c>
      <c r="DB41" s="29">
        <v>0</v>
      </c>
      <c r="DC41" s="29">
        <v>0</v>
      </c>
      <c r="DF41" s="29">
        <v>0</v>
      </c>
      <c r="DG41" s="29">
        <v>0</v>
      </c>
      <c r="DH41" s="29">
        <v>0</v>
      </c>
      <c r="DK41" s="29">
        <v>0</v>
      </c>
      <c r="DL41" s="29">
        <v>0</v>
      </c>
      <c r="DM41" s="29">
        <v>0</v>
      </c>
      <c r="DN41" s="29">
        <v>0</v>
      </c>
      <c r="DO41" s="29">
        <f t="shared" si="35"/>
        <v>0</v>
      </c>
      <c r="DP41" s="29">
        <f t="shared" si="35"/>
        <v>0</v>
      </c>
      <c r="DQ41" s="29">
        <v>0</v>
      </c>
      <c r="DR41" s="29">
        <v>0</v>
      </c>
      <c r="DU41" s="29">
        <v>0</v>
      </c>
      <c r="DV41" s="29">
        <v>0</v>
      </c>
      <c r="DW41" s="29">
        <v>0</v>
      </c>
      <c r="DX41" s="29">
        <v>0</v>
      </c>
      <c r="DY41" s="29">
        <f t="shared" si="36"/>
        <v>0</v>
      </c>
      <c r="DZ41" s="29">
        <f t="shared" si="36"/>
        <v>0</v>
      </c>
      <c r="EA41" s="29">
        <v>0</v>
      </c>
      <c r="EC41" s="29">
        <v>0</v>
      </c>
      <c r="EE41" s="29">
        <v>0</v>
      </c>
      <c r="EF41" s="29">
        <v>0</v>
      </c>
      <c r="EH41" s="29">
        <v>0</v>
      </c>
      <c r="EI41" s="29">
        <f t="shared" si="37"/>
        <v>0</v>
      </c>
      <c r="EJ41" s="29">
        <f t="shared" si="37"/>
        <v>0</v>
      </c>
      <c r="EK41" s="29">
        <v>0</v>
      </c>
      <c r="EL41" s="29">
        <v>0</v>
      </c>
      <c r="EM41" s="29">
        <v>0</v>
      </c>
      <c r="EN41" s="29">
        <v>0</v>
      </c>
      <c r="EO41" s="29">
        <v>0</v>
      </c>
      <c r="EP41" s="29">
        <v>0</v>
      </c>
      <c r="EQ41" s="29">
        <v>0</v>
      </c>
      <c r="ES41" s="29">
        <v>0</v>
      </c>
      <c r="ET41" s="29">
        <v>0</v>
      </c>
      <c r="EU41" s="29">
        <v>0</v>
      </c>
      <c r="EV41" s="29">
        <v>0</v>
      </c>
      <c r="EW41" s="29">
        <v>0</v>
      </c>
      <c r="EX41" s="29">
        <v>0</v>
      </c>
      <c r="EY41" s="29">
        <v>0</v>
      </c>
      <c r="EZ41" s="29">
        <v>0</v>
      </c>
      <c r="FA41" s="29">
        <v>0</v>
      </c>
      <c r="FB41" s="29">
        <f t="shared" si="28"/>
        <v>0</v>
      </c>
      <c r="FC41" s="29">
        <v>0</v>
      </c>
      <c r="FD41" s="29">
        <v>0</v>
      </c>
      <c r="FE41" s="29">
        <v>0</v>
      </c>
      <c r="FF41" s="29">
        <v>0</v>
      </c>
      <c r="FG41" s="29">
        <v>0</v>
      </c>
      <c r="FH41" s="29">
        <v>0</v>
      </c>
      <c r="FK41" s="29">
        <v>0</v>
      </c>
      <c r="FN41" s="29">
        <v>0</v>
      </c>
      <c r="FO41" s="29">
        <v>0</v>
      </c>
      <c r="FQ41" s="29">
        <v>0</v>
      </c>
      <c r="FT41" s="29">
        <v>0</v>
      </c>
      <c r="FU41" s="29">
        <v>0</v>
      </c>
      <c r="FV41" s="29">
        <v>0</v>
      </c>
      <c r="FW41" s="29">
        <v>0</v>
      </c>
      <c r="FX41" s="29">
        <v>0</v>
      </c>
      <c r="FY41" s="29">
        <v>0</v>
      </c>
      <c r="FZ41" s="29">
        <v>0</v>
      </c>
      <c r="GC41" s="61" t="s">
        <v>196</v>
      </c>
      <c r="GD41" s="29" t="s">
        <v>408</v>
      </c>
      <c r="GF41" s="35"/>
      <c r="GG41" s="35"/>
    </row>
    <row r="42" spans="1:189" ht="15.6" x14ac:dyDescent="0.3">
      <c r="A42" s="52" t="s">
        <v>292</v>
      </c>
      <c r="B42" s="52">
        <v>71115</v>
      </c>
      <c r="C42" s="52"/>
      <c r="D42" s="52"/>
      <c r="E42" s="52"/>
      <c r="F42" s="52"/>
      <c r="G42" s="52"/>
      <c r="H42" s="52"/>
      <c r="I42" s="52"/>
      <c r="J42" s="52">
        <v>3</v>
      </c>
      <c r="K42" s="26" t="s">
        <v>409</v>
      </c>
      <c r="L42" s="26" t="s">
        <v>410</v>
      </c>
      <c r="M42" s="34" t="s">
        <v>411</v>
      </c>
      <c r="N42" s="34" t="s">
        <v>300</v>
      </c>
      <c r="O42" s="53">
        <v>0.7631944444444444</v>
      </c>
      <c r="P42" s="54">
        <v>46187</v>
      </c>
      <c r="Q42" s="29">
        <f t="shared" si="29"/>
        <v>0</v>
      </c>
      <c r="R42" s="29">
        <f t="shared" si="29"/>
        <v>0</v>
      </c>
      <c r="S42" s="29">
        <v>0</v>
      </c>
      <c r="T42" s="29">
        <v>0</v>
      </c>
      <c r="U42" s="29">
        <v>0</v>
      </c>
      <c r="V42" s="29">
        <v>0</v>
      </c>
      <c r="W42" s="29">
        <v>0</v>
      </c>
      <c r="X42" s="29">
        <v>0</v>
      </c>
      <c r="Y42" s="29">
        <v>0</v>
      </c>
      <c r="Z42" s="29">
        <v>0</v>
      </c>
      <c r="AA42" s="29">
        <v>0</v>
      </c>
      <c r="AB42" s="29">
        <v>0</v>
      </c>
      <c r="AC42" s="29">
        <v>0</v>
      </c>
      <c r="AD42" s="29">
        <v>0</v>
      </c>
      <c r="AF42" s="29">
        <v>0</v>
      </c>
      <c r="AH42" s="29">
        <v>0</v>
      </c>
      <c r="AI42" s="29">
        <v>0</v>
      </c>
      <c r="AJ42" s="29">
        <v>0</v>
      </c>
      <c r="AK42" s="29">
        <v>0</v>
      </c>
      <c r="AL42" s="29">
        <v>0</v>
      </c>
      <c r="AM42" s="29">
        <v>0</v>
      </c>
      <c r="AN42" s="29">
        <f t="shared" si="30"/>
        <v>0</v>
      </c>
      <c r="AO42" s="29">
        <f t="shared" si="30"/>
        <v>0</v>
      </c>
      <c r="AP42" s="29">
        <v>0</v>
      </c>
      <c r="AR42" s="29">
        <v>0</v>
      </c>
      <c r="AS42" s="29">
        <v>0</v>
      </c>
      <c r="AT42" s="29">
        <v>0</v>
      </c>
      <c r="AU42" s="29">
        <v>0</v>
      </c>
      <c r="AV42" s="29">
        <v>0</v>
      </c>
      <c r="AW42" s="29">
        <v>0</v>
      </c>
      <c r="AX42" s="29">
        <f t="shared" si="31"/>
        <v>0</v>
      </c>
      <c r="AY42" s="29">
        <f t="shared" si="31"/>
        <v>0</v>
      </c>
      <c r="AZ42" s="29">
        <v>0</v>
      </c>
      <c r="BD42" s="29">
        <v>0</v>
      </c>
      <c r="BE42" s="29">
        <v>0</v>
      </c>
      <c r="BF42" s="29">
        <v>0</v>
      </c>
      <c r="BG42" s="29">
        <v>0</v>
      </c>
      <c r="BH42" s="29">
        <f t="shared" si="32"/>
        <v>0</v>
      </c>
      <c r="BI42" s="29">
        <f t="shared" si="32"/>
        <v>0</v>
      </c>
      <c r="BJ42" s="29">
        <v>0</v>
      </c>
      <c r="BN42" s="29">
        <v>0</v>
      </c>
      <c r="BQ42" s="29">
        <v>0</v>
      </c>
      <c r="BT42" s="29">
        <v>0</v>
      </c>
      <c r="BW42" s="29">
        <v>0</v>
      </c>
      <c r="BZ42" s="29">
        <v>0</v>
      </c>
      <c r="CC42" s="29">
        <v>0</v>
      </c>
      <c r="CF42" s="29">
        <v>0</v>
      </c>
      <c r="CL42" s="29">
        <v>0</v>
      </c>
      <c r="CM42" s="29">
        <v>0</v>
      </c>
      <c r="CN42" s="29">
        <v>0</v>
      </c>
      <c r="CO42" s="29">
        <v>0</v>
      </c>
      <c r="CP42" s="29">
        <f t="shared" si="33"/>
        <v>0</v>
      </c>
      <c r="CQ42" s="29">
        <f t="shared" si="33"/>
        <v>0</v>
      </c>
      <c r="CR42" s="29">
        <v>0</v>
      </c>
      <c r="CV42" s="29">
        <v>0</v>
      </c>
      <c r="CW42" s="29">
        <v>0</v>
      </c>
      <c r="CX42" s="29">
        <v>0</v>
      </c>
      <c r="CY42" s="29">
        <v>0</v>
      </c>
      <c r="CZ42" s="29">
        <f t="shared" si="34"/>
        <v>0</v>
      </c>
      <c r="DA42" s="29">
        <f t="shared" si="34"/>
        <v>0</v>
      </c>
      <c r="DB42" s="29">
        <v>0</v>
      </c>
      <c r="DC42" s="29">
        <v>0</v>
      </c>
      <c r="DF42" s="29">
        <v>0</v>
      </c>
      <c r="DG42" s="29">
        <v>0</v>
      </c>
      <c r="DH42" s="29">
        <v>0</v>
      </c>
      <c r="DK42" s="29">
        <v>0</v>
      </c>
      <c r="DL42" s="29">
        <v>0</v>
      </c>
      <c r="DM42" s="29">
        <v>0</v>
      </c>
      <c r="DN42" s="29">
        <v>0</v>
      </c>
      <c r="DO42" s="29">
        <f t="shared" si="35"/>
        <v>0</v>
      </c>
      <c r="DP42" s="29">
        <f t="shared" si="35"/>
        <v>0</v>
      </c>
      <c r="DQ42" s="29">
        <v>0</v>
      </c>
      <c r="DR42" s="29">
        <v>0</v>
      </c>
      <c r="DU42" s="29">
        <v>0</v>
      </c>
      <c r="DV42" s="29">
        <v>0</v>
      </c>
      <c r="DW42" s="29">
        <v>0</v>
      </c>
      <c r="DX42" s="29">
        <v>0</v>
      </c>
      <c r="DY42" s="29">
        <f t="shared" si="36"/>
        <v>0</v>
      </c>
      <c r="DZ42" s="29">
        <f t="shared" si="36"/>
        <v>0</v>
      </c>
      <c r="EA42" s="29">
        <v>0</v>
      </c>
      <c r="EC42" s="29">
        <v>0</v>
      </c>
      <c r="EE42" s="29">
        <v>0</v>
      </c>
      <c r="EF42" s="29">
        <v>0</v>
      </c>
      <c r="EH42" s="29">
        <v>0</v>
      </c>
      <c r="EI42" s="29">
        <f t="shared" si="37"/>
        <v>0</v>
      </c>
      <c r="EJ42" s="29">
        <f t="shared" si="37"/>
        <v>0</v>
      </c>
      <c r="EK42" s="29">
        <v>0</v>
      </c>
      <c r="EL42" s="29">
        <v>0</v>
      </c>
      <c r="EM42" s="29">
        <v>0</v>
      </c>
      <c r="EN42" s="29">
        <v>0</v>
      </c>
      <c r="EO42" s="29">
        <v>0</v>
      </c>
      <c r="EP42" s="29">
        <v>0</v>
      </c>
      <c r="EQ42" s="29">
        <v>0</v>
      </c>
      <c r="ES42" s="29">
        <v>0</v>
      </c>
      <c r="ET42" s="29">
        <v>0</v>
      </c>
      <c r="EU42" s="29">
        <v>0</v>
      </c>
      <c r="EV42" s="29">
        <v>0</v>
      </c>
      <c r="EW42" s="29">
        <v>0</v>
      </c>
      <c r="EX42" s="29">
        <v>0</v>
      </c>
      <c r="EY42" s="29">
        <v>0</v>
      </c>
      <c r="EZ42" s="29">
        <v>0</v>
      </c>
      <c r="FA42" s="29">
        <v>0</v>
      </c>
      <c r="FB42" s="29">
        <f t="shared" si="28"/>
        <v>0</v>
      </c>
      <c r="FC42" s="29">
        <v>0</v>
      </c>
      <c r="FD42" s="29">
        <v>0</v>
      </c>
      <c r="FE42" s="29">
        <v>0</v>
      </c>
      <c r="FF42" s="29">
        <v>0</v>
      </c>
      <c r="FG42" s="29">
        <v>0</v>
      </c>
      <c r="FH42" s="29">
        <v>0</v>
      </c>
      <c r="FK42" s="29">
        <v>0</v>
      </c>
      <c r="FN42" s="29">
        <v>0</v>
      </c>
      <c r="FO42" s="29">
        <v>0</v>
      </c>
      <c r="FQ42" s="29">
        <v>0</v>
      </c>
      <c r="FT42" s="29">
        <v>0</v>
      </c>
      <c r="FU42" s="29">
        <v>0</v>
      </c>
      <c r="FV42" s="29">
        <v>0</v>
      </c>
      <c r="FW42" s="29">
        <v>0</v>
      </c>
      <c r="FX42" s="29">
        <v>0</v>
      </c>
      <c r="FY42" s="29">
        <v>0</v>
      </c>
      <c r="FZ42" s="29">
        <v>0</v>
      </c>
      <c r="GC42" s="62" t="s">
        <v>260</v>
      </c>
      <c r="GD42" s="29" t="s">
        <v>412</v>
      </c>
      <c r="GF42" s="35"/>
      <c r="GG42" s="35"/>
    </row>
    <row r="43" spans="1:189" ht="15.6" x14ac:dyDescent="0.3">
      <c r="A43" s="25" t="s">
        <v>320</v>
      </c>
      <c r="B43" s="25">
        <v>62296</v>
      </c>
      <c r="C43" s="25"/>
      <c r="D43" s="25"/>
      <c r="E43" s="25"/>
      <c r="F43" s="25"/>
      <c r="G43" s="25"/>
      <c r="H43" s="25"/>
      <c r="I43" s="25"/>
      <c r="J43" s="25">
        <v>4</v>
      </c>
      <c r="K43" s="25" t="s">
        <v>413</v>
      </c>
      <c r="L43" s="25" t="s">
        <v>414</v>
      </c>
      <c r="M43" s="25" t="s">
        <v>415</v>
      </c>
      <c r="N43" s="25" t="s">
        <v>203</v>
      </c>
      <c r="O43" s="36">
        <v>0.75277777777777777</v>
      </c>
      <c r="P43" s="47">
        <v>46222</v>
      </c>
      <c r="Q43" s="29">
        <f t="shared" si="29"/>
        <v>0</v>
      </c>
      <c r="R43" s="29">
        <f t="shared" si="29"/>
        <v>0</v>
      </c>
      <c r="S43" s="29">
        <v>0</v>
      </c>
      <c r="T43" s="29">
        <v>0</v>
      </c>
      <c r="U43" s="29">
        <v>0</v>
      </c>
      <c r="V43" s="29">
        <v>0</v>
      </c>
      <c r="W43" s="29">
        <v>0</v>
      </c>
      <c r="X43" s="29">
        <v>0</v>
      </c>
      <c r="Y43" s="29">
        <v>0</v>
      </c>
      <c r="Z43" s="29">
        <v>0</v>
      </c>
      <c r="AA43" s="29">
        <v>0</v>
      </c>
      <c r="AB43" s="29">
        <v>0</v>
      </c>
      <c r="AC43" s="29">
        <v>0</v>
      </c>
      <c r="AD43" s="29">
        <v>0</v>
      </c>
      <c r="AF43" s="29">
        <v>0</v>
      </c>
      <c r="AH43" s="29">
        <v>0</v>
      </c>
      <c r="AI43" s="29">
        <v>0</v>
      </c>
      <c r="AJ43" s="29">
        <v>0</v>
      </c>
      <c r="AK43" s="29">
        <v>0</v>
      </c>
      <c r="AL43" s="29">
        <v>0</v>
      </c>
      <c r="AM43" s="29">
        <v>0</v>
      </c>
      <c r="AN43" s="29">
        <f t="shared" si="30"/>
        <v>0</v>
      </c>
      <c r="AO43" s="29">
        <f t="shared" si="30"/>
        <v>0</v>
      </c>
      <c r="AP43" s="29">
        <v>0</v>
      </c>
      <c r="AR43" s="29">
        <v>0</v>
      </c>
      <c r="AS43" s="29">
        <v>0</v>
      </c>
      <c r="AT43" s="29">
        <v>0</v>
      </c>
      <c r="AU43" s="29">
        <v>0</v>
      </c>
      <c r="AV43" s="29">
        <v>0</v>
      </c>
      <c r="AW43" s="29">
        <v>0</v>
      </c>
      <c r="AX43" s="29">
        <f t="shared" si="31"/>
        <v>0</v>
      </c>
      <c r="AY43" s="29">
        <f t="shared" si="31"/>
        <v>0</v>
      </c>
      <c r="AZ43" s="29">
        <v>0</v>
      </c>
      <c r="BD43" s="29">
        <v>0</v>
      </c>
      <c r="BE43" s="29">
        <v>0</v>
      </c>
      <c r="BF43" s="29">
        <v>0</v>
      </c>
      <c r="BG43" s="29">
        <v>0</v>
      </c>
      <c r="BH43" s="29">
        <f t="shared" si="32"/>
        <v>0</v>
      </c>
      <c r="BI43" s="29">
        <f t="shared" si="32"/>
        <v>0</v>
      </c>
      <c r="BJ43" s="29">
        <v>0</v>
      </c>
      <c r="BN43" s="29">
        <v>0</v>
      </c>
      <c r="BQ43" s="29">
        <v>0</v>
      </c>
      <c r="BT43" s="29">
        <v>0</v>
      </c>
      <c r="BW43" s="29">
        <v>0</v>
      </c>
      <c r="BZ43" s="29">
        <v>0</v>
      </c>
      <c r="CC43" s="29">
        <v>0</v>
      </c>
      <c r="CF43" s="29">
        <v>0</v>
      </c>
      <c r="CL43" s="29">
        <v>0</v>
      </c>
      <c r="CM43" s="29">
        <v>0</v>
      </c>
      <c r="CN43" s="29">
        <v>0</v>
      </c>
      <c r="CO43" s="29">
        <v>0</v>
      </c>
      <c r="CP43" s="29">
        <f t="shared" si="33"/>
        <v>0</v>
      </c>
      <c r="CQ43" s="29">
        <f t="shared" si="33"/>
        <v>0</v>
      </c>
      <c r="CR43" s="29">
        <v>0</v>
      </c>
      <c r="CV43" s="29">
        <v>0</v>
      </c>
      <c r="CW43" s="29">
        <v>0</v>
      </c>
      <c r="CX43" s="29">
        <v>0</v>
      </c>
      <c r="CY43" s="29">
        <v>0</v>
      </c>
      <c r="CZ43" s="29">
        <f t="shared" si="34"/>
        <v>0</v>
      </c>
      <c r="DA43" s="29">
        <f t="shared" si="34"/>
        <v>0</v>
      </c>
      <c r="DB43" s="29">
        <v>0</v>
      </c>
      <c r="DC43" s="29">
        <v>0</v>
      </c>
      <c r="DF43" s="29">
        <v>0</v>
      </c>
      <c r="DG43" s="29">
        <v>0</v>
      </c>
      <c r="DH43" s="29">
        <v>0</v>
      </c>
      <c r="DK43" s="29">
        <v>0</v>
      </c>
      <c r="DL43" s="29">
        <v>0</v>
      </c>
      <c r="DM43" s="29">
        <v>0</v>
      </c>
      <c r="DN43" s="29">
        <v>0</v>
      </c>
      <c r="DO43" s="29">
        <f t="shared" si="35"/>
        <v>0</v>
      </c>
      <c r="DP43" s="29">
        <f t="shared" si="35"/>
        <v>0</v>
      </c>
      <c r="DQ43" s="29">
        <v>0</v>
      </c>
      <c r="DR43" s="29">
        <v>0</v>
      </c>
      <c r="DU43" s="29">
        <v>0</v>
      </c>
      <c r="DV43" s="29">
        <v>0</v>
      </c>
      <c r="DW43" s="29">
        <v>0</v>
      </c>
      <c r="DX43" s="29">
        <v>0</v>
      </c>
      <c r="DY43" s="29">
        <f t="shared" si="36"/>
        <v>0</v>
      </c>
      <c r="DZ43" s="29">
        <f t="shared" si="36"/>
        <v>0</v>
      </c>
      <c r="EA43" s="29">
        <v>0</v>
      </c>
      <c r="EC43" s="29">
        <v>0</v>
      </c>
      <c r="EE43" s="29">
        <v>0</v>
      </c>
      <c r="EF43" s="29">
        <v>0</v>
      </c>
      <c r="EH43" s="29">
        <v>0</v>
      </c>
      <c r="EI43" s="29">
        <f t="shared" si="37"/>
        <v>0</v>
      </c>
      <c r="EJ43" s="29">
        <f t="shared" si="37"/>
        <v>0</v>
      </c>
      <c r="EK43" s="29">
        <v>0</v>
      </c>
      <c r="EL43" s="29">
        <v>0</v>
      </c>
      <c r="EM43" s="29">
        <v>0</v>
      </c>
      <c r="EN43" s="29">
        <v>0</v>
      </c>
      <c r="EO43" s="29">
        <v>0</v>
      </c>
      <c r="EP43" s="29">
        <v>0</v>
      </c>
      <c r="EQ43" s="29">
        <v>0</v>
      </c>
      <c r="ES43" s="29">
        <v>0</v>
      </c>
      <c r="ET43" s="29">
        <v>0</v>
      </c>
      <c r="EU43" s="29">
        <v>0</v>
      </c>
      <c r="EV43" s="29">
        <v>0</v>
      </c>
      <c r="EW43" s="29">
        <v>0</v>
      </c>
      <c r="EX43" s="29">
        <v>0</v>
      </c>
      <c r="EY43" s="29">
        <v>0</v>
      </c>
      <c r="EZ43" s="29">
        <v>0</v>
      </c>
      <c r="FA43" s="29">
        <v>0</v>
      </c>
      <c r="FB43" s="29">
        <f t="shared" si="28"/>
        <v>0</v>
      </c>
      <c r="FC43" s="29">
        <v>0</v>
      </c>
      <c r="FD43" s="29">
        <v>0</v>
      </c>
      <c r="FE43" s="29">
        <v>0</v>
      </c>
      <c r="FF43" s="29">
        <v>0</v>
      </c>
      <c r="FG43" s="29">
        <v>0</v>
      </c>
      <c r="FH43" s="29">
        <v>0</v>
      </c>
      <c r="FK43" s="29">
        <v>0</v>
      </c>
      <c r="FN43" s="29">
        <v>0</v>
      </c>
      <c r="FO43" s="29">
        <v>0</v>
      </c>
      <c r="FQ43" s="29">
        <v>0</v>
      </c>
      <c r="FT43" s="29">
        <v>0</v>
      </c>
      <c r="FU43" s="29">
        <v>0</v>
      </c>
      <c r="FV43" s="29">
        <v>0</v>
      </c>
      <c r="FW43" s="29">
        <v>0</v>
      </c>
      <c r="FX43" s="29">
        <v>0</v>
      </c>
      <c r="FY43" s="29">
        <v>0</v>
      </c>
      <c r="FZ43" s="29">
        <v>0</v>
      </c>
      <c r="GA43" s="25"/>
      <c r="GB43" s="25"/>
      <c r="GC43" s="25" t="s">
        <v>260</v>
      </c>
      <c r="GD43" s="38" t="s">
        <v>416</v>
      </c>
      <c r="GE43" s="38"/>
      <c r="GF43" s="39"/>
      <c r="GG43" s="39"/>
    </row>
    <row r="44" spans="1:189" ht="15.6" x14ac:dyDescent="0.3">
      <c r="A44" s="25" t="s">
        <v>320</v>
      </c>
      <c r="B44" s="25">
        <v>62296</v>
      </c>
      <c r="C44" s="25"/>
      <c r="D44" s="25"/>
      <c r="E44" s="25"/>
      <c r="F44" s="25"/>
      <c r="G44" s="25"/>
      <c r="H44" s="25"/>
      <c r="I44" s="25"/>
      <c r="J44" s="25">
        <v>4</v>
      </c>
      <c r="K44" s="25" t="s">
        <v>327</v>
      </c>
      <c r="L44" s="25" t="s">
        <v>417</v>
      </c>
      <c r="M44" s="25" t="s">
        <v>418</v>
      </c>
      <c r="N44" s="25" t="s">
        <v>300</v>
      </c>
      <c r="O44" s="36">
        <v>0.81944444444444453</v>
      </c>
      <c r="P44" s="47">
        <v>46214</v>
      </c>
      <c r="Q44" s="29">
        <f t="shared" si="29"/>
        <v>0</v>
      </c>
      <c r="R44" s="29">
        <f t="shared" si="29"/>
        <v>0</v>
      </c>
      <c r="S44" s="29">
        <v>0</v>
      </c>
      <c r="T44" s="29">
        <v>0</v>
      </c>
      <c r="U44" s="29">
        <v>0</v>
      </c>
      <c r="V44" s="29">
        <v>0</v>
      </c>
      <c r="W44" s="29">
        <v>0</v>
      </c>
      <c r="X44" s="29">
        <v>0</v>
      </c>
      <c r="Y44" s="29">
        <v>0</v>
      </c>
      <c r="Z44" s="29">
        <v>0</v>
      </c>
      <c r="AA44" s="29">
        <v>0</v>
      </c>
      <c r="AB44" s="29">
        <v>0</v>
      </c>
      <c r="AC44" s="29">
        <v>0</v>
      </c>
      <c r="AD44" s="29">
        <v>0</v>
      </c>
      <c r="AF44" s="29">
        <v>0</v>
      </c>
      <c r="AH44" s="29">
        <v>0</v>
      </c>
      <c r="AI44" s="29">
        <v>0</v>
      </c>
      <c r="AJ44" s="29">
        <v>0</v>
      </c>
      <c r="AK44" s="29">
        <v>0</v>
      </c>
      <c r="AL44" s="29">
        <v>0</v>
      </c>
      <c r="AM44" s="29">
        <v>0</v>
      </c>
      <c r="AN44" s="29">
        <f t="shared" si="30"/>
        <v>0</v>
      </c>
      <c r="AO44" s="29">
        <f t="shared" si="30"/>
        <v>0</v>
      </c>
      <c r="AP44" s="29">
        <v>0</v>
      </c>
      <c r="AR44" s="29">
        <v>0</v>
      </c>
      <c r="AS44" s="29">
        <v>0</v>
      </c>
      <c r="AT44" s="29">
        <v>0</v>
      </c>
      <c r="AU44" s="29">
        <v>0</v>
      </c>
      <c r="AV44" s="29">
        <v>0</v>
      </c>
      <c r="AW44" s="29">
        <v>0</v>
      </c>
      <c r="AX44" s="29">
        <f t="shared" si="31"/>
        <v>0</v>
      </c>
      <c r="AY44" s="29">
        <f t="shared" si="31"/>
        <v>0</v>
      </c>
      <c r="AZ44" s="29">
        <v>0</v>
      </c>
      <c r="BD44" s="29">
        <v>0</v>
      </c>
      <c r="BE44" s="29">
        <v>0</v>
      </c>
      <c r="BF44" s="29">
        <v>0</v>
      </c>
      <c r="BG44" s="29">
        <v>0</v>
      </c>
      <c r="BH44" s="29">
        <f t="shared" si="32"/>
        <v>0</v>
      </c>
      <c r="BI44" s="29">
        <f t="shared" si="32"/>
        <v>0</v>
      </c>
      <c r="BJ44" s="29">
        <v>0</v>
      </c>
      <c r="BN44" s="29">
        <v>0</v>
      </c>
      <c r="BQ44" s="29">
        <v>0</v>
      </c>
      <c r="BT44" s="29">
        <v>0</v>
      </c>
      <c r="BW44" s="29">
        <v>0</v>
      </c>
      <c r="BZ44" s="29">
        <v>0</v>
      </c>
      <c r="CC44" s="29">
        <v>0</v>
      </c>
      <c r="CF44" s="29">
        <v>0</v>
      </c>
      <c r="CL44" s="29">
        <v>0</v>
      </c>
      <c r="CM44" s="29">
        <v>0</v>
      </c>
      <c r="CN44" s="29">
        <v>0</v>
      </c>
      <c r="CO44" s="29">
        <v>0</v>
      </c>
      <c r="CP44" s="29">
        <f t="shared" si="33"/>
        <v>0</v>
      </c>
      <c r="CQ44" s="29">
        <f t="shared" si="33"/>
        <v>0</v>
      </c>
      <c r="CR44" s="29">
        <v>0</v>
      </c>
      <c r="CV44" s="29">
        <v>0</v>
      </c>
      <c r="CW44" s="29">
        <v>0</v>
      </c>
      <c r="CX44" s="29">
        <v>0</v>
      </c>
      <c r="CY44" s="29">
        <v>0</v>
      </c>
      <c r="CZ44" s="29">
        <f t="shared" si="34"/>
        <v>0</v>
      </c>
      <c r="DA44" s="29">
        <f t="shared" si="34"/>
        <v>0</v>
      </c>
      <c r="DB44" s="29">
        <v>0</v>
      </c>
      <c r="DC44" s="29">
        <v>0</v>
      </c>
      <c r="DF44" s="29">
        <v>0</v>
      </c>
      <c r="DG44" s="29">
        <v>0</v>
      </c>
      <c r="DH44" s="29">
        <v>0</v>
      </c>
      <c r="DK44" s="29">
        <v>0</v>
      </c>
      <c r="DL44" s="29">
        <v>0</v>
      </c>
      <c r="DM44" s="29">
        <v>0</v>
      </c>
      <c r="DN44" s="29">
        <v>0</v>
      </c>
      <c r="DO44" s="29">
        <f t="shared" si="35"/>
        <v>0</v>
      </c>
      <c r="DP44" s="29">
        <f t="shared" si="35"/>
        <v>0</v>
      </c>
      <c r="DQ44" s="29">
        <v>0</v>
      </c>
      <c r="DR44" s="29">
        <v>0</v>
      </c>
      <c r="DU44" s="29">
        <v>0</v>
      </c>
      <c r="DV44" s="29">
        <v>0</v>
      </c>
      <c r="DW44" s="29">
        <v>0</v>
      </c>
      <c r="DX44" s="29">
        <v>0</v>
      </c>
      <c r="DY44" s="29">
        <f t="shared" si="36"/>
        <v>0</v>
      </c>
      <c r="DZ44" s="29">
        <f t="shared" si="36"/>
        <v>0</v>
      </c>
      <c r="EA44" s="29">
        <v>0</v>
      </c>
      <c r="EC44" s="29">
        <v>0</v>
      </c>
      <c r="EE44" s="29">
        <v>0</v>
      </c>
      <c r="EF44" s="29">
        <v>0</v>
      </c>
      <c r="EH44" s="29">
        <v>0</v>
      </c>
      <c r="EI44" s="29">
        <f t="shared" si="37"/>
        <v>0</v>
      </c>
      <c r="EJ44" s="29">
        <f t="shared" si="37"/>
        <v>0</v>
      </c>
      <c r="EK44" s="29">
        <v>0</v>
      </c>
      <c r="EL44" s="29">
        <v>0</v>
      </c>
      <c r="EM44" s="29">
        <v>0</v>
      </c>
      <c r="EN44" s="29">
        <v>0</v>
      </c>
      <c r="EO44" s="29">
        <v>0</v>
      </c>
      <c r="EP44" s="29">
        <v>0</v>
      </c>
      <c r="EQ44" s="29">
        <v>0</v>
      </c>
      <c r="ES44" s="29">
        <v>0</v>
      </c>
      <c r="ET44" s="29">
        <v>0</v>
      </c>
      <c r="EU44" s="29">
        <v>0</v>
      </c>
      <c r="EV44" s="29">
        <v>0</v>
      </c>
      <c r="EW44" s="29">
        <v>0</v>
      </c>
      <c r="EX44" s="29">
        <v>0</v>
      </c>
      <c r="EY44" s="29">
        <v>0</v>
      </c>
      <c r="EZ44" s="29">
        <v>0</v>
      </c>
      <c r="FA44" s="29">
        <v>0</v>
      </c>
      <c r="FB44" s="29">
        <f t="shared" si="28"/>
        <v>0</v>
      </c>
      <c r="FC44" s="29">
        <v>0</v>
      </c>
      <c r="FD44" s="29">
        <v>0</v>
      </c>
      <c r="FE44" s="29">
        <v>0</v>
      </c>
      <c r="FF44" s="29">
        <v>0</v>
      </c>
      <c r="FG44" s="29">
        <v>0</v>
      </c>
      <c r="FH44" s="29">
        <v>0</v>
      </c>
      <c r="FK44" s="29">
        <v>0</v>
      </c>
      <c r="FN44" s="29">
        <v>0</v>
      </c>
      <c r="FO44" s="29">
        <v>0</v>
      </c>
      <c r="FQ44" s="29">
        <v>0</v>
      </c>
      <c r="FT44" s="29">
        <v>0</v>
      </c>
      <c r="FU44" s="29">
        <v>0</v>
      </c>
      <c r="FV44" s="29">
        <v>0</v>
      </c>
      <c r="FW44" s="29">
        <v>0</v>
      </c>
      <c r="FX44" s="29">
        <v>0</v>
      </c>
      <c r="FY44" s="29">
        <v>0</v>
      </c>
      <c r="FZ44" s="29">
        <v>0</v>
      </c>
      <c r="GA44" s="25"/>
      <c r="GB44" s="25"/>
      <c r="GC44" s="25" t="s">
        <v>260</v>
      </c>
      <c r="GD44" s="24" t="s">
        <v>419</v>
      </c>
      <c r="GE44" s="24"/>
      <c r="GF44" s="39"/>
      <c r="GG44" s="39"/>
    </row>
  </sheetData>
  <dataValidations count="1">
    <dataValidation type="list" allowBlank="1" promptTitle="Choose village" prompt="Select a district first, then choose a village." sqref="A26 A29" xr:uid="{A520EBF2-C543-4022-8267-C3DBDBFD0C62}">
      <formula1>INDIRECT(IF($J26="","",SUBSTITUTE(SUBSTITUTE(SUBSTITUTE($J26," ","_"),"-","_"),"/","_")))</formula1>
    </dataValidation>
  </dataValidations>
  <hyperlinks>
    <hyperlink ref="GD8" r:id="rId1" xr:uid="{2C23691F-48BD-448A-9D75-C5045C565D9E}"/>
    <hyperlink ref="GD11" r:id="rId2" xr:uid="{1143750A-C71E-4800-B41C-DAFC0E5CC1F6}"/>
    <hyperlink ref="GD13" r:id="rId3" xr:uid="{10B1ABB9-E263-4C7C-9556-3414DA1476C2}"/>
    <hyperlink ref="GD14" r:id="rId4" xr:uid="{65C8FF79-4BE7-4F73-B9A5-AE1F4A9E1D5A}"/>
    <hyperlink ref="GD17" r:id="rId5" xr:uid="{CAA7B5AB-88AF-42A2-9477-EE1EB0D64843}"/>
    <hyperlink ref="GA18" r:id="rId6" xr:uid="{1E7E2CD2-4892-49BC-89E3-1DCA244E35F2}"/>
    <hyperlink ref="GD19" r:id="rId7" xr:uid="{1615E1CA-AB3C-4038-939E-AA5918E39EBA}"/>
    <hyperlink ref="GD21" r:id="rId8" xr:uid="{00B42BB7-A07A-49D8-B23E-FE041C7B6A64}"/>
    <hyperlink ref="GD37" r:id="rId9" xr:uid="{5FDAAAEA-9999-4026-9AC2-10510F1135F4}"/>
    <hyperlink ref="GD44" r:id="rId10" xr:uid="{B2E38531-64B9-42F3-A611-F3F3D02FB0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Rabab M.</cp:lastModifiedBy>
  <dcterms:created xsi:type="dcterms:W3CDTF">2015-06-05T18:17:20Z</dcterms:created>
  <dcterms:modified xsi:type="dcterms:W3CDTF">2026-08-10T09:09:31Z</dcterms:modified>
</cp:coreProperties>
</file>